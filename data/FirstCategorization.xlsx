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e2d178247cac65/Christian Personal Files (old dropbox)/FaultLocalization_Microtasks_data/Experiment-3-2018/data/"/>
    </mc:Choice>
  </mc:AlternateContent>
  <xr:revisionPtr revIDLastSave="0" documentId="11_46217D69D5FF4A34215CE97540C3E97BBD7316FB" xr6:coauthVersionLast="47" xr6:coauthVersionMax="47" xr10:uidLastSave="{00000000-0000-0000-0000-000000000000}"/>
  <bookViews>
    <workbookView xWindow="-98" yWindow="-98" windowWidth="19396" windowHeight="10276" xr2:uid="{728CFB52-9423-4CAB-AB4F-264A4B82CB09}"/>
  </bookViews>
  <sheets>
    <sheet name="data" sheetId="1" r:id="rId1"/>
    <sheet name="quality" sheetId="3" r:id="rId2"/>
    <sheet name="summary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8" i="1" l="1"/>
  <c r="D137" i="1"/>
  <c r="D138" i="1"/>
  <c r="D139" i="1"/>
  <c r="D140" i="1"/>
  <c r="D136" i="1"/>
  <c r="D141" i="1" s="1"/>
  <c r="C137" i="1"/>
  <c r="C138" i="1"/>
  <c r="C139" i="1"/>
  <c r="C140" i="1"/>
  <c r="C136" i="1"/>
  <c r="C141" i="1" s="1"/>
  <c r="E6" i="2" l="1"/>
  <c r="E5" i="2"/>
  <c r="E4" i="2"/>
  <c r="E3" i="2"/>
  <c r="E2" i="2"/>
  <c r="H11" i="3"/>
  <c r="K7" i="3"/>
  <c r="J7" i="3"/>
  <c r="J6" i="3"/>
  <c r="I7" i="3"/>
  <c r="I6" i="3"/>
  <c r="I5" i="3"/>
  <c r="H4" i="3"/>
  <c r="H5" i="3"/>
  <c r="H7" i="3"/>
  <c r="H6" i="3"/>
  <c r="D124" i="1"/>
  <c r="D6" i="2"/>
  <c r="C6" i="2"/>
  <c r="B6" i="2"/>
  <c r="D5" i="2"/>
  <c r="C5" i="2"/>
  <c r="B5" i="2"/>
  <c r="D4" i="2"/>
  <c r="C4" i="2"/>
  <c r="B4" i="2"/>
  <c r="B2" i="2"/>
  <c r="D3" i="2"/>
  <c r="C3" i="2"/>
  <c r="B3" i="2"/>
  <c r="D2" i="2"/>
  <c r="C2" i="2"/>
  <c r="F124" i="1" l="1"/>
  <c r="G124" i="1"/>
  <c r="H124" i="1"/>
  <c r="I124" i="1"/>
  <c r="E124" i="1"/>
  <c r="M12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</author>
  </authors>
  <commentList>
    <comment ref="C1" authorId="0" shapeId="0" xr:uid="{B55F2347-3963-4149-AE00-4A9BF5120489}">
      <text>
        <r>
          <rPr>
            <b/>
            <sz val="9"/>
            <color indexed="81"/>
            <rFont val="Tahoma"/>
            <charset val="1"/>
          </rPr>
          <t>Chris:</t>
        </r>
        <r>
          <rPr>
            <sz val="9"/>
            <color indexed="81"/>
            <rFont val="Tahoma"/>
            <charset val="1"/>
          </rPr>
          <t xml:space="preserve">
A- Root-cause of a bug
B- Description of the program
C- Description of the failure
D- Request for more information
E- Suggestion of a fix</t>
        </r>
      </text>
    </comment>
    <comment ref="J1" authorId="0" shapeId="0" xr:uid="{50F7BDB6-F14A-498B-B189-2ACE2E6CA029}">
      <text>
        <r>
          <rPr>
            <b/>
            <sz val="9"/>
            <color indexed="81"/>
            <rFont val="Tahoma"/>
            <charset val="1"/>
          </rPr>
          <t>Chris:</t>
        </r>
        <r>
          <rPr>
            <sz val="9"/>
            <color indexed="81"/>
            <rFont val="Tahoma"/>
            <charset val="1"/>
          </rPr>
          <t xml:space="preserve">
What is the level of confidence of the worker?
</t>
        </r>
      </text>
    </comment>
    <comment ref="K1" authorId="0" shapeId="0" xr:uid="{460DFD97-C951-4928-A707-1FE0957F8838}">
      <text>
        <r>
          <rPr>
            <b/>
            <sz val="9"/>
            <color indexed="81"/>
            <rFont val="Tahoma"/>
            <charset val="1"/>
          </rPr>
          <t>Chris:</t>
        </r>
        <r>
          <rPr>
            <sz val="9"/>
            <color indexed="81"/>
            <rFont val="Tahoma"/>
            <charset val="1"/>
          </rPr>
          <t xml:space="preserve">
What is the quality of the explanation?
</t>
        </r>
      </text>
    </comment>
    <comment ref="L1" authorId="0" shapeId="0" xr:uid="{C5619947-4295-472E-B3E5-E7629846510F}">
      <text>
        <r>
          <rPr>
            <b/>
            <sz val="9"/>
            <color indexed="81"/>
            <rFont val="Tahoma"/>
            <charset val="1"/>
          </rPr>
          <t>Chris:</t>
        </r>
        <r>
          <rPr>
            <sz val="9"/>
            <color indexed="81"/>
            <rFont val="Tahoma"/>
            <charset val="1"/>
          </rPr>
          <t xml:space="preserve">
What is your level of confidence that you understood the explanation?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</author>
  </authors>
  <commentList>
    <comment ref="B1" authorId="0" shapeId="0" xr:uid="{6B31E293-38BF-490B-9E73-EE23AB94217D}">
      <text>
        <r>
          <rPr>
            <b/>
            <sz val="9"/>
            <color indexed="81"/>
            <rFont val="Tahoma"/>
            <charset val="1"/>
          </rPr>
          <t>Chris:</t>
        </r>
        <r>
          <rPr>
            <sz val="9"/>
            <color indexed="81"/>
            <rFont val="Tahoma"/>
            <charset val="1"/>
          </rPr>
          <t xml:space="preserve">
What is the level of confidence of the worker?
</t>
        </r>
      </text>
    </comment>
    <comment ref="C1" authorId="0" shapeId="0" xr:uid="{EF5A340B-5B64-43F2-91B4-50D49A12C27E}">
      <text>
        <r>
          <rPr>
            <b/>
            <sz val="9"/>
            <color indexed="81"/>
            <rFont val="Tahoma"/>
            <charset val="1"/>
          </rPr>
          <t>Chris:</t>
        </r>
        <r>
          <rPr>
            <sz val="9"/>
            <color indexed="81"/>
            <rFont val="Tahoma"/>
            <charset val="1"/>
          </rPr>
          <t xml:space="preserve">
What is the quality of the explanation?
</t>
        </r>
      </text>
    </comment>
    <comment ref="D1" authorId="0" shapeId="0" xr:uid="{12F884E1-8F7F-45E7-B426-DF70DEC17B67}">
      <text>
        <r>
          <rPr>
            <b/>
            <sz val="9"/>
            <color indexed="81"/>
            <rFont val="Tahoma"/>
            <charset val="1"/>
          </rPr>
          <t>Chris:</t>
        </r>
        <r>
          <rPr>
            <sz val="9"/>
            <color indexed="81"/>
            <rFont val="Tahoma"/>
            <charset val="1"/>
          </rPr>
          <t xml:space="preserve">
What is your level of confidence that you understood the explanation?
</t>
        </r>
      </text>
    </comment>
  </commentList>
</comments>
</file>

<file path=xl/sharedStrings.xml><?xml version="1.0" encoding="utf-8"?>
<sst xmlns="http://schemas.openxmlformats.org/spreadsheetml/2006/main" count="232" uniqueCount="119">
  <si>
    <t>Participant</t>
  </si>
  <si>
    <t>ExplanationType</t>
  </si>
  <si>
    <t>Quality</t>
  </si>
  <si>
    <t>ConfidenceParticipant</t>
  </si>
  <si>
    <t>ConfidenceProgrammer</t>
  </si>
  <si>
    <t>C</t>
  </si>
  <si>
    <t>C,F</t>
  </si>
  <si>
    <t>B, C, D</t>
  </si>
  <si>
    <t>C,B</t>
  </si>
  <si>
    <t>A, C</t>
  </si>
  <si>
    <t xml:space="preserve">A </t>
  </si>
  <si>
    <t>A, B, C</t>
  </si>
  <si>
    <t>A, E</t>
  </si>
  <si>
    <t>A</t>
  </si>
  <si>
    <t>ExplanationID</t>
  </si>
  <si>
    <t xml:space="preserve">A, B </t>
  </si>
  <si>
    <t>D</t>
  </si>
  <si>
    <t>B, E</t>
  </si>
  <si>
    <t>E</t>
  </si>
  <si>
    <t>Why is it outputting an object although we give it a string?</t>
  </si>
  <si>
    <t xml:space="preserve">B </t>
  </si>
  <si>
    <t>B</t>
  </si>
  <si>
    <t>What exactly does this mean for the code?</t>
  </si>
  <si>
    <t xml:space="preserve">B, C </t>
  </si>
  <si>
    <t>A, B, C, E</t>
  </si>
  <si>
    <t>What exactly would you rewrite?</t>
  </si>
  <si>
    <t>A, C, E</t>
  </si>
  <si>
    <t>Is that a fix or just the cause fo the failure?</t>
  </si>
  <si>
    <t>A,C</t>
  </si>
  <si>
    <t>B,D,E</t>
  </si>
  <si>
    <t>F,C</t>
  </si>
  <si>
    <t>B, C</t>
  </si>
  <si>
    <t>A,B,C, E</t>
  </si>
  <si>
    <t xml:space="preserve">A,B </t>
  </si>
  <si>
    <t>A, B</t>
  </si>
  <si>
    <t>Which kin of faulty input should be catched?</t>
  </si>
  <si>
    <t>A, B, C, D</t>
  </si>
  <si>
    <t>Which incrementation should be removed?</t>
  </si>
  <si>
    <t>What has the error to do with arrays?</t>
  </si>
  <si>
    <t>C,E</t>
  </si>
  <si>
    <t>A, C, D</t>
  </si>
  <si>
    <t>A, B, D</t>
  </si>
  <si>
    <t>How would you improve exception handling? What checks could prevent the exceptions? Could the code be made to work with intem descriptons of shorter length?</t>
  </si>
  <si>
    <t>B, C, E</t>
  </si>
  <si>
    <t>How would you propose a fix to this?</t>
  </si>
  <si>
    <t>FollowUpQuestion</t>
  </si>
  <si>
    <t>A,B, E</t>
  </si>
  <si>
    <t>A, D</t>
  </si>
  <si>
    <t>B,C</t>
  </si>
  <si>
    <t>What is the correct way?</t>
  </si>
  <si>
    <t>B, D</t>
  </si>
  <si>
    <t>What input would lead to correct execution? Why is the input not in UTF-16?</t>
  </si>
  <si>
    <t>A.RootCause</t>
  </si>
  <si>
    <t>B.DescripProgram</t>
  </si>
  <si>
    <t>C.DescripFailure</t>
  </si>
  <si>
    <t>D.MoreInformation</t>
  </si>
  <si>
    <t>Total</t>
  </si>
  <si>
    <t>E.SuggestFaultRemoval</t>
  </si>
  <si>
    <t>Type of Explanation</t>
  </si>
  <si>
    <t>Column1</t>
  </si>
  <si>
    <t xml:space="preserve">when asked to justified her suspicious about a relationship between a program statement </t>
  </si>
  <si>
    <t>and the software failure.</t>
  </si>
  <si>
    <t>We sampled approximately 30% of the largest explanations for positive answers (YES).</t>
  </si>
  <si>
    <t>size of explanations is positively correlated with accuracy of answers [REF]</t>
  </si>
  <si>
    <t>Since we were only interested in program statements related to the failure, we only analyzed explanations from positive answers (YES).</t>
  </si>
  <si>
    <t xml:space="preserve">Future work could also investigate explanations for negative answers (NO), for instance, </t>
  </si>
  <si>
    <t>infer about the correctness of program statements as means to prioritize the search space for program comprehension</t>
  </si>
  <si>
    <t>Our first step was to understand the intent of the explanations about the relationships between program statements and a software failure.</t>
  </si>
  <si>
    <t>By largest, we determined more than 100 characters. This sampling choice was based on our previous results showing that</t>
  </si>
  <si>
    <t>Shopping</t>
  </si>
  <si>
    <t>Chia</t>
  </si>
  <si>
    <t>Soy milk</t>
  </si>
  <si>
    <t>Tomatoes</t>
  </si>
  <si>
    <t>Sage tea</t>
  </si>
  <si>
    <t>Leeks</t>
  </si>
  <si>
    <t>Liquid soap</t>
  </si>
  <si>
    <t>Tofu</t>
  </si>
  <si>
    <t>Curry</t>
  </si>
  <si>
    <t>Walnuts</t>
  </si>
  <si>
    <t>Green onions</t>
  </si>
  <si>
    <t>The categorization was performed by 8 participants with an average of X years of programming experience and knowledge of X programming languages on average.</t>
  </si>
  <si>
    <t>The participants were all part of a Master program in the Hasso-Plattner Institute and were enrolled in a graduate course on software validation and verification course.</t>
  </si>
  <si>
    <t>This, in our opinion, made the participants particularly motivated and sensitive to failure and fault understanding tasks.</t>
  </si>
  <si>
    <t>The outcome of the categorization is threefold:</t>
  </si>
  <si>
    <t>Explanations are distributed across all categories and the largest category was root-cause explanations (Fig-X).</t>
  </si>
  <si>
    <t>Moreover, explanations were considered to pertain to more than one category, on average 1.8 categories per explanation.</t>
  </si>
  <si>
    <t>For explanations considered to pertain to a single category, the root-cause type was the most frequent.</t>
  </si>
  <si>
    <t>This might suggest that root-cause was considered more encompassing than the other categories.</t>
  </si>
  <si>
    <t>RootCause</t>
  </si>
  <si>
    <t>DescriptionFailure</t>
  </si>
  <si>
    <t>MoreInformation</t>
  </si>
  <si>
    <t>SuggestedFix</t>
  </si>
  <si>
    <t>RootCause&gt;MoreInformation</t>
  </si>
  <si>
    <t>DescripProgram</t>
  </si>
  <si>
    <t>DescripFailure</t>
  </si>
  <si>
    <t>More Information</t>
  </si>
  <si>
    <t>DescripProgram&gt;DescripFailure</t>
  </si>
  <si>
    <t>Bonferroni correction</t>
  </si>
  <si>
    <t>adjusted p-value</t>
  </si>
  <si>
    <t>Tests</t>
  </si>
  <si>
    <t>Non-significant</t>
  </si>
  <si>
    <t>Unique</t>
  </si>
  <si>
    <t xml:space="preserve">We also asked programmers to evaluate the quality of the explanations. </t>
  </si>
  <si>
    <t>However, we could not detect statistical significance in differences in the average quality of explanation types (p-value&gt;0.005 after Bonferroni correction for 10 comparisons).</t>
  </si>
  <si>
    <t>We chose root-cause because it was the most encompassing category,</t>
  </si>
  <si>
    <t xml:space="preserve"> while fault removal was chosen because it is the closes to the goal of evaluating the impact </t>
  </si>
  <si>
    <t>of explanations on suggestions to remove faults.</t>
  </si>
  <si>
    <t>Out of the five categories, we narrowed down to root cause and fault removal.</t>
  </si>
  <si>
    <t>Program comprehension</t>
  </si>
  <si>
    <t>Failure description</t>
  </si>
  <si>
    <t>More information</t>
  </si>
  <si>
    <t>Fault removal suggestion</t>
  </si>
  <si>
    <t>Root-cause of failure</t>
  </si>
  <si>
    <t>Unique Occurrences</t>
  </si>
  <si>
    <t>Explanations</t>
  </si>
  <si>
    <t>216</t>
  </si>
  <si>
    <t>54</t>
  </si>
  <si>
    <t>All occurrences</t>
  </si>
  <si>
    <t>Unique occurrences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</si>
</sst>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7" x14ac:knownFonts="1">
    <font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24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2" xfId="0" applyBorder="1"/>
    <xf numFmtId="0" fontId="5" fillId="0" borderId="2" xfId="0" applyFont="1" applyBorder="1" applyAlignment="1">
      <alignment horizontal="center" vertical="center"/>
    </xf>
    <xf numFmtId="2" fontId="4" fillId="0" borderId="2" xfId="0" applyNumberFormat="1" applyFont="1" applyBorder="1"/>
    <xf numFmtId="0" fontId="5" fillId="0" borderId="2" xfId="0" applyFont="1" applyBorder="1"/>
    <xf numFmtId="0" fontId="4" fillId="0" borderId="2" xfId="0" applyFont="1" applyBorder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4" fillId="0" borderId="0" xfId="0" applyFont="1" applyAlignment="1">
      <alignment horizontal="left" vertical="center"/>
    </xf>
    <xf numFmtId="164" fontId="0" fillId="0" borderId="2" xfId="0" applyNumberFormat="1" applyBorder="1"/>
    <xf numFmtId="0" fontId="3" fillId="0" borderId="2" xfId="0" applyFont="1" applyBorder="1"/>
    <xf numFmtId="0" fontId="3" fillId="0" borderId="0" xfId="0" applyFo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3" fillId="0" borderId="3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0" xfId="0" applyFont="1" applyAlignment="1">
      <alignment horizontal="center" vertical="center"/>
    </xf>
    <xf numFmtId="9" fontId="0" fillId="0" borderId="0" xfId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41">
    <dxf>
      <fill>
        <patternFill>
          <bgColor theme="9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5" formatCode="0.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Explanation count by</a:t>
            </a:r>
            <a:r>
              <a:rPr lang="en-US" sz="1200" baseline="0"/>
              <a:t> type</a:t>
            </a:r>
            <a:endParaRPr lang="en-US" sz="1200"/>
          </a:p>
        </c:rich>
      </c:tx>
      <c:layout>
        <c:manualLayout>
          <c:xMode val="edge"/>
          <c:yMode val="edge"/>
          <c:x val="0.33212065616025022"/>
          <c:y val="2.582313578351037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108475540056747"/>
          <c:y val="0.14279038329100455"/>
          <c:w val="0.86835965680841887"/>
          <c:h val="0.5826563462190140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data!$C$127</c:f>
              <c:strCache>
                <c:ptCount val="1"/>
                <c:pt idx="0">
                  <c:v>All occurrences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</c:spPr>
          <c:invertIfNegative val="0"/>
          <c:cat>
            <c:strRef>
              <c:f>data!$B$128:$B$132</c:f>
              <c:strCache>
                <c:ptCount val="5"/>
                <c:pt idx="0">
                  <c:v>Root-cause of failure</c:v>
                </c:pt>
                <c:pt idx="1">
                  <c:v>Program comprehension</c:v>
                </c:pt>
                <c:pt idx="2">
                  <c:v>Failure description</c:v>
                </c:pt>
                <c:pt idx="3">
                  <c:v>Fault removal suggestion</c:v>
                </c:pt>
                <c:pt idx="4">
                  <c:v>More information</c:v>
                </c:pt>
              </c:strCache>
            </c:strRef>
          </c:cat>
          <c:val>
            <c:numRef>
              <c:f>data!$C$128:$C$132</c:f>
              <c:numCache>
                <c:formatCode>General</c:formatCode>
                <c:ptCount val="5"/>
                <c:pt idx="0">
                  <c:v>75</c:v>
                </c:pt>
                <c:pt idx="1">
                  <c:v>51</c:v>
                </c:pt>
                <c:pt idx="2">
                  <c:v>46</c:v>
                </c:pt>
                <c:pt idx="3">
                  <c:v>29</c:v>
                </c:pt>
                <c:pt idx="4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62E-450F-B155-F363684D188E}"/>
            </c:ext>
          </c:extLst>
        </c:ser>
        <c:ser>
          <c:idx val="1"/>
          <c:order val="1"/>
          <c:tx>
            <c:strRef>
              <c:f>data!$D$127</c:f>
              <c:strCache>
                <c:ptCount val="1"/>
                <c:pt idx="0">
                  <c:v>Unique occurrences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</c:spPr>
          <c:invertIfNegative val="0"/>
          <c:cat>
            <c:strRef>
              <c:f>data!$B$128:$B$132</c:f>
              <c:strCache>
                <c:ptCount val="5"/>
                <c:pt idx="0">
                  <c:v>Root-cause of failure</c:v>
                </c:pt>
                <c:pt idx="1">
                  <c:v>Program comprehension</c:v>
                </c:pt>
                <c:pt idx="2">
                  <c:v>Failure description</c:v>
                </c:pt>
                <c:pt idx="3">
                  <c:v>Fault removal suggestion</c:v>
                </c:pt>
                <c:pt idx="4">
                  <c:v>More information</c:v>
                </c:pt>
              </c:strCache>
            </c:strRef>
          </c:cat>
          <c:val>
            <c:numRef>
              <c:f>data!$D$128:$D$132</c:f>
              <c:numCache>
                <c:formatCode>General</c:formatCode>
                <c:ptCount val="5"/>
                <c:pt idx="0">
                  <c:v>31</c:v>
                </c:pt>
                <c:pt idx="1">
                  <c:v>7</c:v>
                </c:pt>
                <c:pt idx="2">
                  <c:v>6</c:v>
                </c:pt>
                <c:pt idx="3">
                  <c:v>3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62E-450F-B155-F363684D18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0821480"/>
        <c:axId val="530824104"/>
      </c:barChart>
      <c:catAx>
        <c:axId val="530821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Explanation types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824104"/>
        <c:crosses val="autoZero"/>
        <c:auto val="1"/>
        <c:lblAlgn val="ctr"/>
        <c:lblOffset val="100"/>
        <c:noMultiLvlLbl val="0"/>
      </c:catAx>
      <c:valAx>
        <c:axId val="530824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821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0359699359223553"/>
          <c:y val="0.19851724791301528"/>
          <c:w val="0.49640307888225599"/>
          <c:h val="0.1111118599885007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658092738407699"/>
          <c:y val="0.17171296296296296"/>
          <c:w val="0.85286351706036745"/>
          <c:h val="0.6057943277923594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data!$C$127</c:f>
              <c:strCache>
                <c:ptCount val="1"/>
                <c:pt idx="0">
                  <c:v>All occurrences</c:v>
                </c:pt>
              </c:strCache>
            </c:strRef>
          </c:tx>
          <c:spPr>
            <a:solidFill>
              <a:schemeClr val="accent1">
                <a:shade val="76000"/>
              </a:schemeClr>
            </a:solidFill>
            <a:ln>
              <a:noFill/>
            </a:ln>
            <a:effectLst/>
          </c:spPr>
          <c:invertIfNegative val="0"/>
          <c:cat>
            <c:strRef>
              <c:f>data!$B$136:$B$140</c:f>
              <c:strCache>
                <c:ptCount val="5"/>
                <c:pt idx="0">
                  <c:v>Root-cause of failure</c:v>
                </c:pt>
                <c:pt idx="1">
                  <c:v>Program comprehension</c:v>
                </c:pt>
                <c:pt idx="2">
                  <c:v>Failure description</c:v>
                </c:pt>
                <c:pt idx="3">
                  <c:v>Fault removal suggestion</c:v>
                </c:pt>
                <c:pt idx="4">
                  <c:v>More information</c:v>
                </c:pt>
              </c:strCache>
            </c:strRef>
          </c:cat>
          <c:val>
            <c:numRef>
              <c:f>data!$C$136:$C$140</c:f>
              <c:numCache>
                <c:formatCode>0%</c:formatCode>
                <c:ptCount val="5"/>
                <c:pt idx="0">
                  <c:v>0.34722222222222221</c:v>
                </c:pt>
                <c:pt idx="1">
                  <c:v>0.2361111111111111</c:v>
                </c:pt>
                <c:pt idx="2">
                  <c:v>0.21296296296296297</c:v>
                </c:pt>
                <c:pt idx="3">
                  <c:v>0.13425925925925927</c:v>
                </c:pt>
                <c:pt idx="4">
                  <c:v>6.9444444444444448E-2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43-45F7-8003-2930146261CA}"/>
            </c:ext>
          </c:extLst>
        </c:ser>
        <c:ser>
          <c:idx val="1"/>
          <c:order val="1"/>
          <c:tx>
            <c:strRef>
              <c:f>data!$D$127</c:f>
              <c:strCache>
                <c:ptCount val="1"/>
                <c:pt idx="0">
                  <c:v>Unique occurrences</c:v>
                </c:pt>
              </c:strCache>
            </c:strRef>
          </c:tx>
          <c:spPr>
            <a:solidFill>
              <a:schemeClr val="accent1">
                <a:tint val="77000"/>
              </a:schemeClr>
            </a:solidFill>
            <a:ln>
              <a:noFill/>
            </a:ln>
            <a:effectLst/>
          </c:spPr>
          <c:invertIfNegative val="0"/>
          <c:cat>
            <c:strRef>
              <c:f>data!$B$136:$B$140</c:f>
              <c:strCache>
                <c:ptCount val="5"/>
                <c:pt idx="0">
                  <c:v>Root-cause of failure</c:v>
                </c:pt>
                <c:pt idx="1">
                  <c:v>Program comprehension</c:v>
                </c:pt>
                <c:pt idx="2">
                  <c:v>Failure description</c:v>
                </c:pt>
                <c:pt idx="3">
                  <c:v>Fault removal suggestion</c:v>
                </c:pt>
                <c:pt idx="4">
                  <c:v>More information</c:v>
                </c:pt>
              </c:strCache>
            </c:strRef>
          </c:cat>
          <c:val>
            <c:numRef>
              <c:f>data!$D$136:$D$140</c:f>
              <c:numCache>
                <c:formatCode>0%</c:formatCode>
                <c:ptCount val="5"/>
                <c:pt idx="0">
                  <c:v>0.57407407407407407</c:v>
                </c:pt>
                <c:pt idx="1">
                  <c:v>0.12962962962962962</c:v>
                </c:pt>
                <c:pt idx="2">
                  <c:v>0.1111111111111111</c:v>
                </c:pt>
                <c:pt idx="3">
                  <c:v>5.5555555555555552E-2</c:v>
                </c:pt>
                <c:pt idx="4">
                  <c:v>0.12962962962962962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C43-45F7-8003-2930146261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0821480"/>
        <c:axId val="530824104"/>
      </c:barChart>
      <c:catAx>
        <c:axId val="5308214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Explanation types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824104"/>
        <c:crosses val="autoZero"/>
        <c:auto val="1"/>
        <c:lblAlgn val="ctr"/>
        <c:lblOffset val="100"/>
        <c:noMultiLvlLbl val="0"/>
      </c:catAx>
      <c:valAx>
        <c:axId val="530824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821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50359711286089237"/>
          <c:y val="0.25057815689705448"/>
          <c:w val="0.46502799650043747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140493</xdr:colOff>
      <xdr:row>125</xdr:row>
      <xdr:rowOff>71439</xdr:rowOff>
    </xdr:from>
    <xdr:to>
      <xdr:col>8</xdr:col>
      <xdr:colOff>509587</xdr:colOff>
      <xdr:row>136</xdr:row>
      <xdr:rowOff>9527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24DA7B-563B-40B8-A204-995792E4A5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14285</xdr:colOff>
      <xdr:row>142</xdr:row>
      <xdr:rowOff>4762</xdr:rowOff>
    </xdr:from>
    <xdr:to>
      <xdr:col>4</xdr:col>
      <xdr:colOff>376237</xdr:colOff>
      <xdr:row>157</xdr:row>
      <xdr:rowOff>33337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CEB199-8E73-4FAB-9E65-F54B19C08A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FDDD9E-295B-4146-91DB-4A6009A63950}" name="Table1" displayName="Table1" ref="A1:M124" totalsRowCount="1" headerRowDxfId="40" dataDxfId="39">
  <autoFilter ref="A1:M123" xr:uid="{06A57053-15D3-4F4E-A766-BF55AB005F91}"/>
  <tableColumns count="13">
    <tableColumn id="1" xr3:uid="{1CD763FD-2079-4E85-836F-3C64F2B3B0DA}" name="Participant" totalsRowLabel="Total" dataDxfId="38" totalsRowDxfId="37"/>
    <tableColumn id="2" xr3:uid="{A4CD00CA-965A-41D0-BF8F-24EBD4998C96}" name="ExplanationID" dataDxfId="36" totalsRowDxfId="35"/>
    <tableColumn id="3" xr3:uid="{A409B629-E04E-4824-89F3-D0BD2A7452C3}" name="ExplanationType" dataDxfId="34" totalsRowDxfId="33"/>
    <tableColumn id="13" xr3:uid="{FA160FAB-EA70-47F9-83B6-953112AC99C3}" name="Column1" totalsRowFunction="average" dataDxfId="32" totalsRowDxfId="31"/>
    <tableColumn id="12" xr3:uid="{B0D27411-6932-4FBB-A1D2-DB481F82D8C8}" name="A.RootCause" totalsRowFunction="count" dataDxfId="30" totalsRowDxfId="29"/>
    <tableColumn id="11" xr3:uid="{2290BEEC-F01D-4AC2-BDD7-B76FB74E08FA}" name="B.DescripProgram" totalsRowFunction="count" dataDxfId="28" totalsRowDxfId="27"/>
    <tableColumn id="10" xr3:uid="{C742D0A1-30A7-40E5-A69E-46A6ABC8CA5C}" name="C.DescripFailure" totalsRowFunction="count" dataDxfId="26" totalsRowDxfId="25"/>
    <tableColumn id="9" xr3:uid="{2A0F9DF6-6A47-4748-9CB7-A5B18FD7C2EE}" name="D.MoreInformation" totalsRowFunction="count" dataDxfId="24" totalsRowDxfId="23"/>
    <tableColumn id="8" xr3:uid="{01AE2BA0-4718-4B07-9801-6F9CB435330C}" name="E.SuggestFaultRemoval" totalsRowFunction="count" dataDxfId="22" totalsRowDxfId="21"/>
    <tableColumn id="4" xr3:uid="{D2E6BBC5-8605-4DB6-BADD-F08F0EB0B7BF}" name="ConfidenceProgrammer" dataDxfId="20" totalsRowDxfId="19"/>
    <tableColumn id="5" xr3:uid="{99BCF0A1-D609-443C-8F94-C4F1CE406744}" name="Quality" dataDxfId="18" totalsRowDxfId="17"/>
    <tableColumn id="6" xr3:uid="{BB899BC7-3BBB-4BEB-9274-E2C321A8AC91}" name="ConfidenceParticipant" dataDxfId="16" totalsRowDxfId="15"/>
    <tableColumn id="7" xr3:uid="{3E7F72CC-F62E-4D45-BAD6-7A899D3F6F07}" name="FollowUpQuestion" totalsRowFunction="c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344515-C768-4D54-9D24-09AFA05C2CC8}" name="Table2" displayName="Table2" ref="B127:D133" totalsRowCount="1" headerRowDxfId="14">
  <sortState xmlns:xlrd2="http://schemas.microsoft.com/office/spreadsheetml/2017/richdata2" ref="B128:D132">
    <sortCondition descending="1" ref="C127:C132"/>
  </sortState>
  <tableColumns count="3">
    <tableColumn id="1" xr3:uid="{4103FAA8-FF52-448D-BD13-89123B692239}" name="Explanations" totalsRowLabel="Total" dataDxfId="13" totalsRowDxfId="12"/>
    <tableColumn id="2" xr3:uid="{87AD5654-6B5A-4582-8076-F4989716071C}" name="All occurrences" totalsRowLabel="216" dataDxfId="11" totalsRowDxfId="10"/>
    <tableColumn id="3" xr3:uid="{DFABB890-E989-4D0B-A4FD-6BEA31B147E9}" name="Unique occurrences" totalsRowLabel="54" dataDxfId="9" totalsRowDxfId="8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1C8144-D6AD-4C22-B025-6EAF9457F569}" name="Table24" displayName="Table24" ref="B135:D141" totalsRowCount="1" headerRowDxfId="7">
  <sortState xmlns:xlrd2="http://schemas.microsoft.com/office/spreadsheetml/2017/richdata2" ref="B136:D140">
    <sortCondition descending="1" ref="C127:C132"/>
  </sortState>
  <tableColumns count="3">
    <tableColumn id="1" xr3:uid="{A3D2786A-03C5-4FC0-AA90-48B132C45862}" name="Explanations" totalsRowLabel="Total" dataDxfId="6" totalsRowDxfId="5"/>
    <tableColumn id="2" xr3:uid="{3C38781C-AE60-46DF-ABD5-3575D677ACDB}" name="All occurrences" totalsRowFunction="sum" dataDxfId="4" totalsRowDxfId="3" dataCellStyle="Percent" totalsRowCellStyle="Percent">
      <calculatedColumnFormula>C128/Table2[[#Totals],[All occurrences]]</calculatedColumnFormula>
    </tableColumn>
    <tableColumn id="3" xr3:uid="{FC91AA3A-652E-4C02-9720-169D3FF79CAA}" name="Unique Occurrences" totalsRowFunction="sum" dataDxfId="2" totalsRowDxfId="1" dataCellStyle="Percent" totalsRowCellStyle="Percent">
      <calculatedColumnFormula>D128/Table2[[#Totals],[Unique occurrences]]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omments" Target="../comments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3.xml"/><Relationship Id="rId5" Type="http://schemas.openxmlformats.org/officeDocument/2006/relationships/table" Target="../tables/table2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811EF6-2DBF-446E-AB0E-9F27911496A1}">
  <dimension ref="A1:M141"/>
  <sheetViews>
    <sheetView tabSelected="1" workbookViewId="0">
      <selection activeCell="C13" sqref="C13"/>
    </sheetView>
  </sheetViews>
  <sheetFormatPr defaultRowHeight="14.25" x14ac:dyDescent="0.45"/>
  <cols>
    <col min="1" max="1" width="12.9296875" style="1" customWidth="1"/>
    <col min="2" max="2" width="22" style="1" customWidth="1"/>
    <col min="3" max="3" width="17.796875" style="1" customWidth="1"/>
    <col min="4" max="4" width="19" style="1" customWidth="1"/>
    <col min="5" max="9" width="17.796875" style="1" customWidth="1"/>
    <col min="10" max="10" width="21.86328125" style="1" customWidth="1"/>
    <col min="11" max="11" width="9.06640625" style="1"/>
    <col min="12" max="12" width="20.46484375" style="1" customWidth="1"/>
    <col min="13" max="13" width="36.6640625" customWidth="1"/>
  </cols>
  <sheetData>
    <row r="1" spans="1:13" x14ac:dyDescent="0.45">
      <c r="A1" s="1" t="s">
        <v>0</v>
      </c>
      <c r="B1" s="1" t="s">
        <v>14</v>
      </c>
      <c r="C1" s="1" t="s">
        <v>1</v>
      </c>
      <c r="D1" s="1" t="s">
        <v>59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57</v>
      </c>
      <c r="J1" s="1" t="s">
        <v>4</v>
      </c>
      <c r="K1" s="1" t="s">
        <v>2</v>
      </c>
      <c r="L1" s="1" t="s">
        <v>3</v>
      </c>
      <c r="M1" s="1" t="s">
        <v>45</v>
      </c>
    </row>
    <row r="2" spans="1:13" x14ac:dyDescent="0.45">
      <c r="A2" s="1">
        <v>8</v>
      </c>
      <c r="B2" s="1">
        <v>171</v>
      </c>
      <c r="C2" s="1" t="s">
        <v>5</v>
      </c>
      <c r="D2" s="1">
        <v>1</v>
      </c>
      <c r="G2" s="1" t="b">
        <v>1</v>
      </c>
      <c r="J2" s="1">
        <v>4</v>
      </c>
      <c r="K2" s="1">
        <v>4</v>
      </c>
      <c r="L2" s="1">
        <v>4</v>
      </c>
    </row>
    <row r="3" spans="1:13" x14ac:dyDescent="0.45">
      <c r="A3" s="1">
        <v>8</v>
      </c>
      <c r="B3" s="1">
        <v>171</v>
      </c>
      <c r="C3" s="1" t="s">
        <v>6</v>
      </c>
      <c r="D3" s="1">
        <v>2</v>
      </c>
      <c r="G3" s="1" t="b">
        <v>1</v>
      </c>
      <c r="I3" s="1" t="b">
        <v>1</v>
      </c>
      <c r="J3" s="1">
        <v>5</v>
      </c>
      <c r="K3" s="1">
        <v>5</v>
      </c>
      <c r="L3" s="1">
        <v>5</v>
      </c>
    </row>
    <row r="4" spans="1:13" x14ac:dyDescent="0.45">
      <c r="A4" s="1">
        <v>8</v>
      </c>
      <c r="B4" s="1">
        <v>173</v>
      </c>
      <c r="C4" s="1" t="s">
        <v>6</v>
      </c>
      <c r="D4" s="1">
        <v>2</v>
      </c>
      <c r="G4" s="1" t="b">
        <v>1</v>
      </c>
      <c r="I4" s="1" t="b">
        <v>1</v>
      </c>
      <c r="J4" s="1">
        <v>3</v>
      </c>
      <c r="K4" s="1">
        <v>2</v>
      </c>
      <c r="L4" s="1">
        <v>2</v>
      </c>
    </row>
    <row r="5" spans="1:13" x14ac:dyDescent="0.45">
      <c r="A5" s="1">
        <v>8</v>
      </c>
      <c r="B5" s="1">
        <v>174</v>
      </c>
      <c r="C5" s="1" t="s">
        <v>7</v>
      </c>
      <c r="D5" s="1">
        <v>3</v>
      </c>
      <c r="F5" s="1" t="b">
        <v>1</v>
      </c>
      <c r="G5" s="1" t="b">
        <v>1</v>
      </c>
      <c r="H5" s="1" t="b">
        <v>1</v>
      </c>
      <c r="J5" s="1">
        <v>2</v>
      </c>
      <c r="K5" s="1">
        <v>4</v>
      </c>
      <c r="L5" s="1">
        <v>3</v>
      </c>
    </row>
    <row r="6" spans="1:13" x14ac:dyDescent="0.45">
      <c r="A6" s="1">
        <v>8</v>
      </c>
      <c r="B6" s="1">
        <v>175</v>
      </c>
      <c r="C6" s="1" t="s">
        <v>8</v>
      </c>
      <c r="D6" s="1">
        <v>2</v>
      </c>
      <c r="F6" s="1" t="b">
        <v>1</v>
      </c>
      <c r="G6" s="1" t="b">
        <v>1</v>
      </c>
      <c r="J6" s="1">
        <v>4</v>
      </c>
      <c r="K6" s="1">
        <v>2</v>
      </c>
      <c r="L6" s="1">
        <v>1</v>
      </c>
    </row>
    <row r="7" spans="1:13" x14ac:dyDescent="0.45">
      <c r="A7" s="1">
        <v>8</v>
      </c>
      <c r="B7" s="1">
        <v>176</v>
      </c>
      <c r="C7" s="1" t="s">
        <v>9</v>
      </c>
      <c r="D7" s="1">
        <v>2</v>
      </c>
      <c r="E7" s="1" t="b">
        <v>1</v>
      </c>
      <c r="G7" s="1" t="b">
        <v>1</v>
      </c>
      <c r="J7" s="1">
        <v>1</v>
      </c>
      <c r="K7" s="1">
        <v>1</v>
      </c>
      <c r="L7" s="1">
        <v>1</v>
      </c>
    </row>
    <row r="8" spans="1:13" x14ac:dyDescent="0.45">
      <c r="A8" s="1">
        <v>7</v>
      </c>
      <c r="B8" s="1">
        <v>68</v>
      </c>
      <c r="C8" s="1" t="s">
        <v>10</v>
      </c>
      <c r="D8" s="1">
        <v>1</v>
      </c>
      <c r="E8" s="1" t="b">
        <v>1</v>
      </c>
      <c r="J8" s="1">
        <v>3</v>
      </c>
      <c r="K8" s="1">
        <v>2</v>
      </c>
      <c r="L8" s="1">
        <v>3</v>
      </c>
    </row>
    <row r="9" spans="1:13" x14ac:dyDescent="0.45">
      <c r="A9" s="1">
        <v>7</v>
      </c>
      <c r="B9" s="1">
        <v>69</v>
      </c>
      <c r="C9" s="1" t="s">
        <v>10</v>
      </c>
      <c r="D9" s="1">
        <v>1</v>
      </c>
      <c r="E9" s="1" t="b">
        <v>1</v>
      </c>
      <c r="J9" s="1">
        <v>2</v>
      </c>
      <c r="K9" s="1">
        <v>1</v>
      </c>
      <c r="L9" s="1">
        <v>5</v>
      </c>
    </row>
    <row r="10" spans="1:13" x14ac:dyDescent="0.45">
      <c r="A10" s="1">
        <v>7</v>
      </c>
      <c r="B10" s="1">
        <v>70</v>
      </c>
      <c r="C10" s="1" t="s">
        <v>10</v>
      </c>
      <c r="D10" s="1">
        <v>1</v>
      </c>
      <c r="E10" s="1" t="b">
        <v>1</v>
      </c>
      <c r="J10" s="1">
        <v>3</v>
      </c>
      <c r="K10" s="1">
        <v>5</v>
      </c>
      <c r="L10" s="1">
        <v>5</v>
      </c>
    </row>
    <row r="11" spans="1:13" x14ac:dyDescent="0.45">
      <c r="A11" s="1">
        <v>7</v>
      </c>
      <c r="B11" s="1">
        <v>71</v>
      </c>
      <c r="C11" s="1" t="s">
        <v>10</v>
      </c>
      <c r="D11" s="1">
        <v>1</v>
      </c>
      <c r="E11" s="1" t="b">
        <v>1</v>
      </c>
      <c r="J11" s="1">
        <v>3</v>
      </c>
      <c r="K11" s="1">
        <v>1</v>
      </c>
      <c r="L11" s="1">
        <v>4</v>
      </c>
    </row>
    <row r="12" spans="1:13" x14ac:dyDescent="0.45">
      <c r="A12" s="1">
        <v>7</v>
      </c>
      <c r="B12" s="1">
        <v>72</v>
      </c>
      <c r="C12" s="1" t="s">
        <v>13</v>
      </c>
      <c r="D12" s="1">
        <v>1</v>
      </c>
      <c r="E12" s="1" t="b">
        <v>1</v>
      </c>
      <c r="J12" s="1">
        <v>2</v>
      </c>
      <c r="K12" s="1">
        <v>1</v>
      </c>
      <c r="L12" s="1">
        <v>5</v>
      </c>
    </row>
    <row r="13" spans="1:13" x14ac:dyDescent="0.45">
      <c r="A13" s="1">
        <v>7</v>
      </c>
      <c r="B13" s="1">
        <v>73</v>
      </c>
      <c r="C13" s="1" t="s">
        <v>11</v>
      </c>
      <c r="D13" s="1">
        <v>3</v>
      </c>
      <c r="E13" s="1" t="b">
        <v>1</v>
      </c>
      <c r="F13" s="1" t="b">
        <v>1</v>
      </c>
      <c r="G13" s="1" t="b">
        <v>1</v>
      </c>
      <c r="J13" s="1">
        <v>3</v>
      </c>
      <c r="K13" s="1">
        <v>4</v>
      </c>
      <c r="L13" s="1">
        <v>3</v>
      </c>
    </row>
    <row r="14" spans="1:13" x14ac:dyDescent="0.45">
      <c r="A14" s="1">
        <v>7</v>
      </c>
      <c r="B14" s="1">
        <v>74</v>
      </c>
      <c r="C14" s="1" t="s">
        <v>12</v>
      </c>
      <c r="D14" s="1">
        <v>2</v>
      </c>
      <c r="E14" s="1" t="b">
        <v>1</v>
      </c>
      <c r="I14" s="1" t="b">
        <v>1</v>
      </c>
      <c r="J14" s="1">
        <v>5</v>
      </c>
      <c r="K14" s="1">
        <v>1</v>
      </c>
      <c r="L14" s="1">
        <v>4</v>
      </c>
    </row>
    <row r="15" spans="1:13" x14ac:dyDescent="0.45">
      <c r="A15" s="1">
        <v>7</v>
      </c>
      <c r="B15" s="1">
        <v>75</v>
      </c>
      <c r="C15" s="1" t="s">
        <v>13</v>
      </c>
      <c r="D15" s="1">
        <v>1</v>
      </c>
      <c r="E15" s="1" t="b">
        <v>1</v>
      </c>
      <c r="J15" s="1">
        <v>3</v>
      </c>
      <c r="K15" s="1">
        <v>1</v>
      </c>
      <c r="L15" s="1">
        <v>1</v>
      </c>
    </row>
    <row r="16" spans="1:13" x14ac:dyDescent="0.45">
      <c r="A16" s="1">
        <v>6</v>
      </c>
      <c r="B16" s="1">
        <v>238</v>
      </c>
      <c r="C16" s="1" t="s">
        <v>15</v>
      </c>
      <c r="D16" s="1">
        <v>2</v>
      </c>
      <c r="E16" s="1" t="b">
        <v>1</v>
      </c>
      <c r="F16" s="1" t="b">
        <v>1</v>
      </c>
      <c r="J16" s="1">
        <v>3</v>
      </c>
      <c r="K16" s="1">
        <v>2</v>
      </c>
      <c r="L16" s="1">
        <v>1</v>
      </c>
    </row>
    <row r="17" spans="1:13" x14ac:dyDescent="0.45">
      <c r="A17" s="1">
        <v>6</v>
      </c>
      <c r="B17" s="1">
        <v>239</v>
      </c>
      <c r="C17" s="1" t="s">
        <v>16</v>
      </c>
      <c r="D17" s="1">
        <v>1</v>
      </c>
      <c r="H17" s="1" t="b">
        <v>1</v>
      </c>
      <c r="J17" s="1">
        <v>1</v>
      </c>
      <c r="K17" s="1">
        <v>1</v>
      </c>
      <c r="L17" s="1">
        <v>2</v>
      </c>
    </row>
    <row r="18" spans="1:13" x14ac:dyDescent="0.45">
      <c r="A18" s="1">
        <v>6</v>
      </c>
      <c r="B18" s="1">
        <v>131</v>
      </c>
      <c r="C18" s="1" t="s">
        <v>17</v>
      </c>
      <c r="D18" s="1">
        <v>2</v>
      </c>
      <c r="F18" s="1" t="b">
        <v>1</v>
      </c>
      <c r="I18" s="1" t="b">
        <v>1</v>
      </c>
      <c r="J18" s="1">
        <v>3</v>
      </c>
      <c r="K18" s="1">
        <v>1</v>
      </c>
      <c r="L18" s="1">
        <v>5</v>
      </c>
    </row>
    <row r="19" spans="1:13" x14ac:dyDescent="0.45">
      <c r="A19" s="1">
        <v>6</v>
      </c>
      <c r="B19" s="1">
        <v>132</v>
      </c>
      <c r="C19" s="1" t="s">
        <v>15</v>
      </c>
      <c r="D19" s="1">
        <v>2</v>
      </c>
      <c r="E19" s="1" t="b">
        <v>1</v>
      </c>
      <c r="F19" s="1" t="b">
        <v>1</v>
      </c>
      <c r="J19" s="1">
        <v>2</v>
      </c>
      <c r="K19" s="1">
        <v>3</v>
      </c>
      <c r="L19" s="1">
        <v>4</v>
      </c>
    </row>
    <row r="20" spans="1:13" x14ac:dyDescent="0.45">
      <c r="A20" s="1">
        <v>6</v>
      </c>
      <c r="B20" s="1">
        <v>133</v>
      </c>
      <c r="C20" s="1" t="s">
        <v>10</v>
      </c>
      <c r="D20" s="1">
        <v>1</v>
      </c>
      <c r="E20" s="1" t="b">
        <v>1</v>
      </c>
      <c r="J20" s="1">
        <v>3</v>
      </c>
      <c r="K20" s="1">
        <v>2</v>
      </c>
      <c r="L20" s="1">
        <v>4</v>
      </c>
    </row>
    <row r="21" spans="1:13" x14ac:dyDescent="0.45">
      <c r="A21" s="1">
        <v>6</v>
      </c>
      <c r="B21" s="1">
        <v>134</v>
      </c>
      <c r="C21" s="1" t="s">
        <v>18</v>
      </c>
      <c r="D21" s="1">
        <v>1</v>
      </c>
      <c r="I21" s="1" t="b">
        <v>1</v>
      </c>
      <c r="J21" s="1">
        <v>5</v>
      </c>
      <c r="K21" s="1">
        <v>2</v>
      </c>
      <c r="L21" s="1">
        <v>5</v>
      </c>
    </row>
    <row r="22" spans="1:13" x14ac:dyDescent="0.45">
      <c r="A22" s="1">
        <v>6</v>
      </c>
      <c r="B22" s="1">
        <v>135</v>
      </c>
      <c r="C22" s="1" t="s">
        <v>15</v>
      </c>
      <c r="D22" s="1">
        <v>2</v>
      </c>
      <c r="E22" s="1" t="b">
        <v>1</v>
      </c>
      <c r="F22" s="1" t="b">
        <v>1</v>
      </c>
      <c r="J22" s="1">
        <v>5</v>
      </c>
      <c r="K22" s="1">
        <v>5</v>
      </c>
      <c r="L22" s="1">
        <v>5</v>
      </c>
    </row>
    <row r="23" spans="1:13" x14ac:dyDescent="0.45">
      <c r="A23" s="1">
        <v>6</v>
      </c>
      <c r="B23" s="1">
        <v>136</v>
      </c>
      <c r="C23" s="1" t="s">
        <v>15</v>
      </c>
      <c r="D23" s="1">
        <v>2</v>
      </c>
      <c r="E23" s="1" t="b">
        <v>1</v>
      </c>
      <c r="F23" s="1" t="b">
        <v>1</v>
      </c>
      <c r="J23" s="1">
        <v>4</v>
      </c>
      <c r="K23" s="1">
        <v>2</v>
      </c>
      <c r="L23" s="1">
        <v>2</v>
      </c>
      <c r="M23" t="s">
        <v>19</v>
      </c>
    </row>
    <row r="24" spans="1:13" x14ac:dyDescent="0.45">
      <c r="A24" s="1">
        <v>6</v>
      </c>
      <c r="B24" s="1">
        <v>125</v>
      </c>
      <c r="C24" s="1" t="s">
        <v>20</v>
      </c>
      <c r="D24" s="1">
        <v>1</v>
      </c>
      <c r="F24" s="1" t="b">
        <v>1</v>
      </c>
      <c r="J24" s="1">
        <v>5</v>
      </c>
      <c r="K24" s="1">
        <v>2</v>
      </c>
      <c r="L24" s="1">
        <v>2</v>
      </c>
    </row>
    <row r="25" spans="1:13" x14ac:dyDescent="0.45">
      <c r="A25" s="1">
        <v>6</v>
      </c>
      <c r="B25" s="1">
        <v>126</v>
      </c>
      <c r="C25" s="1" t="s">
        <v>21</v>
      </c>
      <c r="D25" s="1">
        <v>1</v>
      </c>
      <c r="F25" s="1" t="b">
        <v>1</v>
      </c>
      <c r="J25" s="1">
        <v>5</v>
      </c>
      <c r="K25" s="1">
        <v>1</v>
      </c>
      <c r="L25" s="1">
        <v>5</v>
      </c>
      <c r="M25" t="s">
        <v>22</v>
      </c>
    </row>
    <row r="26" spans="1:13" x14ac:dyDescent="0.45">
      <c r="A26" s="1">
        <v>6</v>
      </c>
      <c r="B26" s="1">
        <v>127</v>
      </c>
      <c r="C26" s="1" t="s">
        <v>13</v>
      </c>
      <c r="D26" s="1">
        <v>1</v>
      </c>
      <c r="E26" s="1" t="b">
        <v>1</v>
      </c>
      <c r="J26" s="1">
        <v>3</v>
      </c>
      <c r="K26" s="1">
        <v>4</v>
      </c>
      <c r="L26" s="1">
        <v>5</v>
      </c>
    </row>
    <row r="27" spans="1:13" x14ac:dyDescent="0.45">
      <c r="A27" s="1">
        <v>6</v>
      </c>
      <c r="B27" s="1">
        <v>128</v>
      </c>
      <c r="C27" s="1" t="s">
        <v>21</v>
      </c>
      <c r="D27" s="1">
        <v>1</v>
      </c>
      <c r="F27" s="1" t="b">
        <v>1</v>
      </c>
      <c r="J27" s="1">
        <v>5</v>
      </c>
      <c r="K27" s="1">
        <v>4</v>
      </c>
      <c r="L27" s="1">
        <v>4</v>
      </c>
    </row>
    <row r="28" spans="1:13" x14ac:dyDescent="0.45">
      <c r="A28" s="1">
        <v>6</v>
      </c>
      <c r="B28" s="1">
        <v>129</v>
      </c>
      <c r="C28" s="1" t="s">
        <v>12</v>
      </c>
      <c r="D28" s="1">
        <v>2</v>
      </c>
      <c r="E28" s="1" t="b">
        <v>1</v>
      </c>
      <c r="I28" s="1" t="b">
        <v>1</v>
      </c>
      <c r="J28" s="1">
        <v>5</v>
      </c>
      <c r="K28" s="1">
        <v>5</v>
      </c>
      <c r="L28" s="1">
        <v>5</v>
      </c>
    </row>
    <row r="29" spans="1:13" x14ac:dyDescent="0.45">
      <c r="A29" s="1">
        <v>6</v>
      </c>
      <c r="B29" s="1">
        <v>130</v>
      </c>
      <c r="C29" s="1" t="s">
        <v>17</v>
      </c>
      <c r="D29" s="1">
        <v>2</v>
      </c>
      <c r="F29" s="1" t="b">
        <v>1</v>
      </c>
      <c r="I29" s="1" t="b">
        <v>1</v>
      </c>
      <c r="J29" s="1">
        <v>5</v>
      </c>
      <c r="K29" s="1">
        <v>3</v>
      </c>
      <c r="L29" s="1">
        <v>4</v>
      </c>
    </row>
    <row r="30" spans="1:13" x14ac:dyDescent="0.45">
      <c r="A30" s="1">
        <v>6</v>
      </c>
      <c r="B30" s="1">
        <v>121</v>
      </c>
      <c r="C30" s="1" t="s">
        <v>17</v>
      </c>
      <c r="D30" s="1">
        <v>2</v>
      </c>
      <c r="F30" s="1" t="b">
        <v>1</v>
      </c>
      <c r="I30" s="1" t="b">
        <v>1</v>
      </c>
      <c r="J30" s="1">
        <v>4</v>
      </c>
      <c r="K30" s="1">
        <v>3</v>
      </c>
      <c r="L30" s="1">
        <v>3</v>
      </c>
    </row>
    <row r="31" spans="1:13" x14ac:dyDescent="0.45">
      <c r="A31" s="1">
        <v>6</v>
      </c>
      <c r="B31" s="1">
        <v>122</v>
      </c>
      <c r="C31" s="1" t="s">
        <v>13</v>
      </c>
      <c r="D31" s="1">
        <v>1</v>
      </c>
      <c r="E31" s="1" t="b">
        <v>1</v>
      </c>
      <c r="J31" s="1">
        <v>5</v>
      </c>
      <c r="K31" s="1">
        <v>2</v>
      </c>
      <c r="L31" s="1">
        <v>3</v>
      </c>
    </row>
    <row r="32" spans="1:13" x14ac:dyDescent="0.45">
      <c r="A32" s="1">
        <v>6</v>
      </c>
      <c r="B32" s="1">
        <v>123</v>
      </c>
      <c r="C32" s="1" t="s">
        <v>23</v>
      </c>
      <c r="D32" s="1">
        <v>2</v>
      </c>
      <c r="F32" s="1" t="b">
        <v>1</v>
      </c>
      <c r="G32" s="1" t="b">
        <v>1</v>
      </c>
      <c r="J32" s="1">
        <v>3</v>
      </c>
      <c r="K32" s="1">
        <v>2</v>
      </c>
      <c r="L32" s="1">
        <v>2</v>
      </c>
    </row>
    <row r="33" spans="1:13" x14ac:dyDescent="0.45">
      <c r="A33" s="1">
        <v>6</v>
      </c>
      <c r="B33" s="1">
        <v>124</v>
      </c>
      <c r="C33" s="1" t="s">
        <v>24</v>
      </c>
      <c r="D33" s="1">
        <v>4</v>
      </c>
      <c r="E33" s="1" t="b">
        <v>1</v>
      </c>
      <c r="F33" s="1" t="b">
        <v>1</v>
      </c>
      <c r="G33" s="1" t="b">
        <v>1</v>
      </c>
      <c r="I33" s="1" t="b">
        <v>1</v>
      </c>
      <c r="J33" s="1">
        <v>4</v>
      </c>
      <c r="K33" s="1">
        <v>3</v>
      </c>
      <c r="L33" s="1">
        <v>3</v>
      </c>
      <c r="M33" t="s">
        <v>25</v>
      </c>
    </row>
    <row r="34" spans="1:13" x14ac:dyDescent="0.45">
      <c r="A34" s="1">
        <v>6</v>
      </c>
      <c r="B34" s="1">
        <v>115</v>
      </c>
      <c r="C34" s="1" t="s">
        <v>15</v>
      </c>
      <c r="D34" s="1">
        <v>2</v>
      </c>
      <c r="E34" s="1" t="b">
        <v>1</v>
      </c>
      <c r="F34" s="1" t="b">
        <v>1</v>
      </c>
      <c r="J34" s="1">
        <v>3</v>
      </c>
      <c r="K34" s="1">
        <v>2</v>
      </c>
      <c r="L34" s="1">
        <v>4</v>
      </c>
    </row>
    <row r="35" spans="1:13" x14ac:dyDescent="0.45">
      <c r="A35" s="1">
        <v>6</v>
      </c>
      <c r="B35" s="1">
        <v>116</v>
      </c>
      <c r="C35" s="1" t="s">
        <v>26</v>
      </c>
      <c r="D35" s="1">
        <v>3</v>
      </c>
      <c r="E35" s="1" t="b">
        <v>1</v>
      </c>
      <c r="G35" s="1" t="b">
        <v>1</v>
      </c>
      <c r="I35" s="1" t="b">
        <v>1</v>
      </c>
      <c r="J35" s="1">
        <v>5</v>
      </c>
      <c r="K35" s="1">
        <v>4</v>
      </c>
      <c r="L35" s="1">
        <v>3</v>
      </c>
    </row>
    <row r="36" spans="1:13" x14ac:dyDescent="0.45">
      <c r="A36" s="1">
        <v>6</v>
      </c>
      <c r="B36" s="1">
        <v>117</v>
      </c>
      <c r="C36" s="1" t="s">
        <v>13</v>
      </c>
      <c r="D36" s="1">
        <v>1</v>
      </c>
      <c r="E36" s="1" t="b">
        <v>1</v>
      </c>
      <c r="J36" s="1">
        <v>5</v>
      </c>
      <c r="K36" s="1">
        <v>4</v>
      </c>
      <c r="L36" s="1">
        <v>4</v>
      </c>
    </row>
    <row r="37" spans="1:13" x14ac:dyDescent="0.45">
      <c r="A37" s="1">
        <v>6</v>
      </c>
      <c r="B37" s="1">
        <v>118</v>
      </c>
      <c r="C37" s="1" t="s">
        <v>12</v>
      </c>
      <c r="D37" s="1">
        <v>2</v>
      </c>
      <c r="E37" s="1" t="b">
        <v>1</v>
      </c>
      <c r="I37" s="1" t="b">
        <v>1</v>
      </c>
      <c r="J37" s="1">
        <v>5</v>
      </c>
      <c r="K37" s="1">
        <v>2</v>
      </c>
      <c r="L37" s="1">
        <v>2</v>
      </c>
      <c r="M37" t="s">
        <v>27</v>
      </c>
    </row>
    <row r="38" spans="1:13" x14ac:dyDescent="0.45">
      <c r="A38" s="1">
        <v>6</v>
      </c>
      <c r="B38" s="1">
        <v>119</v>
      </c>
      <c r="C38" s="1" t="s">
        <v>11</v>
      </c>
      <c r="D38" s="1">
        <v>3</v>
      </c>
      <c r="E38" s="1" t="b">
        <v>1</v>
      </c>
      <c r="F38" s="1" t="b">
        <v>1</v>
      </c>
      <c r="G38" s="1" t="b">
        <v>1</v>
      </c>
      <c r="J38" s="1">
        <v>5</v>
      </c>
      <c r="K38" s="1">
        <v>4</v>
      </c>
      <c r="L38" s="1">
        <v>4</v>
      </c>
    </row>
    <row r="39" spans="1:13" x14ac:dyDescent="0.45">
      <c r="A39" s="1">
        <v>6</v>
      </c>
      <c r="B39" s="1">
        <v>120</v>
      </c>
      <c r="C39" s="1" t="s">
        <v>16</v>
      </c>
      <c r="D39" s="1">
        <v>1</v>
      </c>
      <c r="H39" s="1" t="b">
        <v>1</v>
      </c>
      <c r="J39" s="1">
        <v>1</v>
      </c>
      <c r="K39" s="1">
        <v>1</v>
      </c>
      <c r="L39" s="1">
        <v>4</v>
      </c>
    </row>
    <row r="40" spans="1:13" x14ac:dyDescent="0.45">
      <c r="A40" s="1">
        <v>5</v>
      </c>
      <c r="B40" s="1">
        <v>142</v>
      </c>
      <c r="C40" s="1" t="s">
        <v>13</v>
      </c>
      <c r="D40" s="1">
        <v>1</v>
      </c>
      <c r="E40" s="1" t="b">
        <v>1</v>
      </c>
      <c r="J40" s="1">
        <v>3</v>
      </c>
      <c r="K40" s="1">
        <v>3</v>
      </c>
      <c r="L40" s="1">
        <v>2</v>
      </c>
    </row>
    <row r="41" spans="1:13" x14ac:dyDescent="0.45">
      <c r="A41" s="1">
        <v>5</v>
      </c>
      <c r="B41" s="1">
        <v>143</v>
      </c>
      <c r="C41" s="1" t="s">
        <v>13</v>
      </c>
      <c r="D41" s="1">
        <v>1</v>
      </c>
      <c r="E41" s="1" t="b">
        <v>1</v>
      </c>
      <c r="J41" s="1">
        <v>5</v>
      </c>
      <c r="K41" s="1">
        <v>5</v>
      </c>
      <c r="L41" s="1">
        <v>5</v>
      </c>
    </row>
    <row r="42" spans="1:13" x14ac:dyDescent="0.45">
      <c r="A42" s="1">
        <v>5</v>
      </c>
      <c r="B42" s="1">
        <v>144</v>
      </c>
      <c r="C42" s="1" t="s">
        <v>28</v>
      </c>
      <c r="D42" s="1">
        <v>2</v>
      </c>
      <c r="E42" s="1" t="b">
        <v>1</v>
      </c>
      <c r="G42" s="1" t="b">
        <v>1</v>
      </c>
      <c r="J42" s="1">
        <v>5</v>
      </c>
      <c r="K42" s="1">
        <v>4</v>
      </c>
      <c r="L42" s="1">
        <v>4</v>
      </c>
    </row>
    <row r="43" spans="1:13" x14ac:dyDescent="0.45">
      <c r="A43" s="1">
        <v>5</v>
      </c>
      <c r="B43" s="1">
        <v>145</v>
      </c>
      <c r="C43" s="1" t="s">
        <v>28</v>
      </c>
      <c r="D43" s="1">
        <v>2</v>
      </c>
      <c r="E43" s="1" t="b">
        <v>1</v>
      </c>
      <c r="G43" s="1" t="b">
        <v>1</v>
      </c>
      <c r="J43" s="1">
        <v>5</v>
      </c>
      <c r="K43" s="1">
        <v>4</v>
      </c>
      <c r="L43" s="1">
        <v>5</v>
      </c>
    </row>
    <row r="44" spans="1:13" x14ac:dyDescent="0.45">
      <c r="A44" s="1">
        <v>5</v>
      </c>
      <c r="B44" s="1">
        <v>146</v>
      </c>
      <c r="C44" s="1" t="s">
        <v>13</v>
      </c>
      <c r="D44" s="1">
        <v>1</v>
      </c>
      <c r="E44" s="1" t="b">
        <v>1</v>
      </c>
      <c r="J44" s="1">
        <v>5</v>
      </c>
      <c r="K44" s="1">
        <v>4</v>
      </c>
      <c r="L44" s="1">
        <v>5</v>
      </c>
    </row>
    <row r="45" spans="1:13" x14ac:dyDescent="0.45">
      <c r="A45" s="1">
        <v>5</v>
      </c>
      <c r="B45" s="1">
        <v>147</v>
      </c>
      <c r="C45" s="1" t="s">
        <v>13</v>
      </c>
      <c r="D45" s="1">
        <v>1</v>
      </c>
      <c r="E45" s="1" t="b">
        <v>1</v>
      </c>
      <c r="J45" s="1">
        <v>5</v>
      </c>
      <c r="K45" s="1">
        <v>4</v>
      </c>
      <c r="L45" s="1">
        <v>5</v>
      </c>
    </row>
    <row r="46" spans="1:13" x14ac:dyDescent="0.45">
      <c r="A46" s="1">
        <v>5</v>
      </c>
      <c r="B46" s="1">
        <v>137</v>
      </c>
      <c r="C46" s="1" t="s">
        <v>13</v>
      </c>
      <c r="D46" s="1">
        <v>1</v>
      </c>
      <c r="E46" s="1" t="b">
        <v>1</v>
      </c>
      <c r="J46" s="1">
        <v>5</v>
      </c>
      <c r="K46" s="1">
        <v>5</v>
      </c>
      <c r="L46" s="1">
        <v>4</v>
      </c>
    </row>
    <row r="47" spans="1:13" x14ac:dyDescent="0.45">
      <c r="A47" s="1">
        <v>5</v>
      </c>
      <c r="B47" s="1">
        <v>138</v>
      </c>
      <c r="C47" s="1" t="s">
        <v>12</v>
      </c>
      <c r="D47" s="1">
        <v>2</v>
      </c>
      <c r="E47" s="1" t="b">
        <v>1</v>
      </c>
      <c r="I47" s="1" t="b">
        <v>1</v>
      </c>
      <c r="J47" s="1">
        <v>4</v>
      </c>
      <c r="K47" s="1">
        <v>4</v>
      </c>
      <c r="L47" s="1">
        <v>3</v>
      </c>
    </row>
    <row r="48" spans="1:13" x14ac:dyDescent="0.45">
      <c r="A48" s="1">
        <v>5</v>
      </c>
      <c r="B48" s="1">
        <v>139</v>
      </c>
      <c r="C48" s="1" t="s">
        <v>13</v>
      </c>
      <c r="D48" s="1">
        <v>1</v>
      </c>
      <c r="E48" s="1" t="b">
        <v>1</v>
      </c>
      <c r="J48" s="1">
        <v>2</v>
      </c>
      <c r="K48" s="1">
        <v>2</v>
      </c>
      <c r="L48" s="1">
        <v>2</v>
      </c>
    </row>
    <row r="49" spans="1:12" x14ac:dyDescent="0.45">
      <c r="A49" s="1">
        <v>5</v>
      </c>
      <c r="B49" s="1">
        <v>140</v>
      </c>
      <c r="C49" s="1" t="s">
        <v>12</v>
      </c>
      <c r="D49" s="1">
        <v>2</v>
      </c>
      <c r="E49" s="1" t="b">
        <v>1</v>
      </c>
      <c r="I49" s="1" t="b">
        <v>1</v>
      </c>
      <c r="J49" s="1">
        <v>5</v>
      </c>
      <c r="K49" s="1">
        <v>5</v>
      </c>
      <c r="L49" s="1">
        <v>5</v>
      </c>
    </row>
    <row r="50" spans="1:12" x14ac:dyDescent="0.45">
      <c r="A50" s="1">
        <v>5</v>
      </c>
      <c r="B50" s="1">
        <v>141</v>
      </c>
      <c r="C50" s="1" t="s">
        <v>13</v>
      </c>
      <c r="D50" s="1">
        <v>1</v>
      </c>
      <c r="E50" s="1" t="b">
        <v>1</v>
      </c>
      <c r="J50" s="1">
        <v>5</v>
      </c>
      <c r="K50" s="1">
        <v>5</v>
      </c>
      <c r="L50" s="1">
        <v>5</v>
      </c>
    </row>
    <row r="51" spans="1:12" x14ac:dyDescent="0.45">
      <c r="A51" s="1">
        <v>5</v>
      </c>
      <c r="B51" s="1">
        <v>148</v>
      </c>
      <c r="C51" s="1" t="s">
        <v>13</v>
      </c>
      <c r="D51" s="1">
        <v>1</v>
      </c>
      <c r="E51" s="1" t="b">
        <v>1</v>
      </c>
      <c r="J51" s="1">
        <v>5</v>
      </c>
      <c r="K51" s="1">
        <v>5</v>
      </c>
      <c r="L51" s="1">
        <v>5</v>
      </c>
    </row>
    <row r="52" spans="1:12" x14ac:dyDescent="0.45">
      <c r="A52" s="1">
        <v>5</v>
      </c>
      <c r="B52" s="1">
        <v>149</v>
      </c>
      <c r="C52" s="1" t="s">
        <v>13</v>
      </c>
      <c r="D52" s="1">
        <v>1</v>
      </c>
      <c r="E52" s="1" t="b">
        <v>1</v>
      </c>
      <c r="J52" s="1">
        <v>5</v>
      </c>
      <c r="K52" s="1">
        <v>4</v>
      </c>
      <c r="L52" s="1">
        <v>3</v>
      </c>
    </row>
    <row r="53" spans="1:12" x14ac:dyDescent="0.45">
      <c r="A53" s="1">
        <v>5</v>
      </c>
      <c r="B53" s="1">
        <v>150</v>
      </c>
      <c r="C53" s="1" t="s">
        <v>13</v>
      </c>
      <c r="D53" s="1">
        <v>1</v>
      </c>
      <c r="E53" s="1" t="b">
        <v>1</v>
      </c>
      <c r="J53" s="1">
        <v>5</v>
      </c>
      <c r="K53" s="1">
        <v>5</v>
      </c>
      <c r="L53" s="1">
        <v>5</v>
      </c>
    </row>
    <row r="54" spans="1:12" x14ac:dyDescent="0.45">
      <c r="A54" s="1">
        <v>5</v>
      </c>
      <c r="B54" s="1">
        <v>151</v>
      </c>
      <c r="C54" s="1" t="s">
        <v>13</v>
      </c>
      <c r="D54" s="1">
        <v>1</v>
      </c>
      <c r="E54" s="1" t="b">
        <v>1</v>
      </c>
      <c r="J54" s="1">
        <v>4</v>
      </c>
      <c r="K54" s="1">
        <v>4</v>
      </c>
      <c r="L54" s="1">
        <v>5</v>
      </c>
    </row>
    <row r="55" spans="1:12" x14ac:dyDescent="0.45">
      <c r="A55" s="1">
        <v>5</v>
      </c>
      <c r="B55" s="1">
        <v>152</v>
      </c>
      <c r="C55" s="1" t="s">
        <v>18</v>
      </c>
      <c r="D55" s="1">
        <v>1</v>
      </c>
      <c r="I55" s="1" t="b">
        <v>1</v>
      </c>
      <c r="J55" s="1">
        <v>5</v>
      </c>
      <c r="K55" s="1">
        <v>4</v>
      </c>
      <c r="L55" s="1">
        <v>4</v>
      </c>
    </row>
    <row r="56" spans="1:12" x14ac:dyDescent="0.45">
      <c r="A56" s="1">
        <v>4</v>
      </c>
      <c r="B56" s="1">
        <v>165</v>
      </c>
      <c r="C56" s="1" t="s">
        <v>13</v>
      </c>
      <c r="D56" s="1">
        <v>1</v>
      </c>
      <c r="E56" s="1" t="b">
        <v>1</v>
      </c>
      <c r="J56" s="1">
        <v>2</v>
      </c>
      <c r="K56" s="1">
        <v>2</v>
      </c>
      <c r="L56" s="1">
        <v>2</v>
      </c>
    </row>
    <row r="57" spans="1:12" x14ac:dyDescent="0.45">
      <c r="A57" s="1">
        <v>4</v>
      </c>
      <c r="B57" s="1">
        <v>166</v>
      </c>
      <c r="C57" s="1" t="s">
        <v>13</v>
      </c>
      <c r="D57" s="1">
        <v>1</v>
      </c>
      <c r="E57" s="1" t="b">
        <v>1</v>
      </c>
      <c r="J57" s="1">
        <v>1</v>
      </c>
      <c r="K57" s="1">
        <v>1</v>
      </c>
      <c r="L57" s="1">
        <v>3</v>
      </c>
    </row>
    <row r="58" spans="1:12" x14ac:dyDescent="0.45">
      <c r="A58" s="1">
        <v>4</v>
      </c>
      <c r="B58" s="1">
        <v>167</v>
      </c>
      <c r="C58" s="1" t="s">
        <v>21</v>
      </c>
      <c r="D58" s="1">
        <v>1</v>
      </c>
      <c r="J58" s="1">
        <v>1</v>
      </c>
      <c r="K58" s="1">
        <v>2</v>
      </c>
      <c r="L58" s="1">
        <v>2</v>
      </c>
    </row>
    <row r="59" spans="1:12" x14ac:dyDescent="0.45">
      <c r="A59" s="1">
        <v>4</v>
      </c>
      <c r="B59" s="1">
        <v>168</v>
      </c>
      <c r="C59" s="1" t="s">
        <v>29</v>
      </c>
      <c r="D59" s="1">
        <v>3</v>
      </c>
      <c r="F59" s="1" t="b">
        <v>1</v>
      </c>
      <c r="I59" s="1" t="b">
        <v>1</v>
      </c>
      <c r="J59" s="1">
        <v>2</v>
      </c>
      <c r="K59" s="1">
        <v>2</v>
      </c>
      <c r="L59" s="1">
        <v>1</v>
      </c>
    </row>
    <row r="60" spans="1:12" x14ac:dyDescent="0.45">
      <c r="A60" s="1">
        <v>4</v>
      </c>
      <c r="B60" s="1">
        <v>169</v>
      </c>
      <c r="C60" s="1" t="s">
        <v>5</v>
      </c>
      <c r="D60" s="1">
        <v>1</v>
      </c>
      <c r="G60" s="1" t="b">
        <v>1</v>
      </c>
      <c r="H60" s="1" t="b">
        <v>1</v>
      </c>
      <c r="J60" s="1">
        <v>2</v>
      </c>
      <c r="K60" s="1">
        <v>1</v>
      </c>
      <c r="L60" s="1">
        <v>2</v>
      </c>
    </row>
    <row r="61" spans="1:12" x14ac:dyDescent="0.45">
      <c r="A61" s="1">
        <v>4</v>
      </c>
      <c r="B61" s="1">
        <v>170</v>
      </c>
      <c r="C61" s="1" t="s">
        <v>30</v>
      </c>
      <c r="D61" s="1">
        <v>2</v>
      </c>
      <c r="G61" s="1" t="b">
        <v>1</v>
      </c>
      <c r="J61" s="1">
        <v>4</v>
      </c>
      <c r="K61" s="1">
        <v>4</v>
      </c>
      <c r="L61" s="1">
        <v>3</v>
      </c>
    </row>
    <row r="62" spans="1:12" x14ac:dyDescent="0.45">
      <c r="A62" s="1">
        <v>4</v>
      </c>
      <c r="B62" s="1">
        <v>160</v>
      </c>
      <c r="C62" s="1" t="s">
        <v>5</v>
      </c>
      <c r="D62" s="1">
        <v>1</v>
      </c>
      <c r="G62" s="1" t="b">
        <v>1</v>
      </c>
      <c r="J62" s="1">
        <v>4</v>
      </c>
      <c r="K62" s="1">
        <v>5</v>
      </c>
      <c r="L62" s="1">
        <v>4</v>
      </c>
    </row>
    <row r="63" spans="1:12" x14ac:dyDescent="0.45">
      <c r="A63" s="1">
        <v>4</v>
      </c>
      <c r="B63" s="1">
        <v>161</v>
      </c>
      <c r="C63" s="1" t="s">
        <v>31</v>
      </c>
      <c r="D63" s="1">
        <v>2</v>
      </c>
      <c r="F63" s="1" t="b">
        <v>1</v>
      </c>
      <c r="G63" s="1" t="b">
        <v>1</v>
      </c>
      <c r="J63" s="1">
        <v>5</v>
      </c>
      <c r="K63" s="1">
        <v>4</v>
      </c>
      <c r="L63" s="1">
        <v>4</v>
      </c>
    </row>
    <row r="64" spans="1:12" x14ac:dyDescent="0.45">
      <c r="A64" s="1">
        <v>4</v>
      </c>
      <c r="B64" s="1">
        <v>162</v>
      </c>
      <c r="C64" s="1" t="s">
        <v>13</v>
      </c>
      <c r="D64" s="1">
        <v>1</v>
      </c>
      <c r="E64" s="1" t="b">
        <v>1</v>
      </c>
      <c r="J64" s="1">
        <v>2</v>
      </c>
      <c r="K64" s="1">
        <v>3</v>
      </c>
      <c r="L64" s="1">
        <v>5</v>
      </c>
    </row>
    <row r="65" spans="1:12" x14ac:dyDescent="0.45">
      <c r="A65" s="1">
        <v>4</v>
      </c>
      <c r="B65" s="1">
        <v>163</v>
      </c>
      <c r="C65" s="1" t="s">
        <v>12</v>
      </c>
      <c r="D65" s="1">
        <v>2</v>
      </c>
      <c r="E65" s="1" t="b">
        <v>1</v>
      </c>
      <c r="I65" s="1" t="b">
        <v>1</v>
      </c>
      <c r="J65" s="1">
        <v>5</v>
      </c>
      <c r="K65" s="1">
        <v>2</v>
      </c>
      <c r="L65" s="1">
        <v>2</v>
      </c>
    </row>
    <row r="66" spans="1:12" x14ac:dyDescent="0.45">
      <c r="A66" s="1">
        <v>4</v>
      </c>
      <c r="B66" s="1">
        <v>164</v>
      </c>
      <c r="C66" s="1" t="s">
        <v>9</v>
      </c>
      <c r="D66" s="1">
        <v>2</v>
      </c>
      <c r="E66" s="1" t="b">
        <v>1</v>
      </c>
      <c r="G66" s="1" t="b">
        <v>1</v>
      </c>
      <c r="J66" s="1">
        <v>3</v>
      </c>
      <c r="K66" s="1">
        <v>4</v>
      </c>
      <c r="L66" s="1">
        <v>5</v>
      </c>
    </row>
    <row r="67" spans="1:12" x14ac:dyDescent="0.45">
      <c r="A67" s="1">
        <v>3</v>
      </c>
      <c r="B67" s="1">
        <v>91</v>
      </c>
      <c r="C67" s="1" t="s">
        <v>5</v>
      </c>
      <c r="D67" s="1">
        <v>1</v>
      </c>
      <c r="J67" s="1">
        <v>5</v>
      </c>
      <c r="K67" s="1">
        <v>4</v>
      </c>
      <c r="L67" s="1">
        <v>3</v>
      </c>
    </row>
    <row r="68" spans="1:12" x14ac:dyDescent="0.45">
      <c r="A68" s="1">
        <v>3</v>
      </c>
      <c r="B68" s="1">
        <v>92</v>
      </c>
      <c r="C68" s="1" t="s">
        <v>18</v>
      </c>
      <c r="D68" s="1">
        <v>1</v>
      </c>
      <c r="I68" s="1" t="b">
        <v>1</v>
      </c>
      <c r="J68" s="1">
        <v>1</v>
      </c>
      <c r="K68" s="1">
        <v>5</v>
      </c>
      <c r="L68" s="1">
        <v>5</v>
      </c>
    </row>
    <row r="69" spans="1:12" x14ac:dyDescent="0.45">
      <c r="A69" s="1">
        <v>3</v>
      </c>
      <c r="B69" s="1">
        <v>93</v>
      </c>
      <c r="C69" s="1" t="s">
        <v>9</v>
      </c>
      <c r="D69" s="1">
        <v>2</v>
      </c>
      <c r="E69" s="1" t="b">
        <v>1</v>
      </c>
      <c r="G69" s="1" t="b">
        <v>1</v>
      </c>
      <c r="J69" s="1">
        <v>5</v>
      </c>
      <c r="K69" s="1">
        <v>5</v>
      </c>
      <c r="L69" s="1">
        <v>5</v>
      </c>
    </row>
    <row r="70" spans="1:12" x14ac:dyDescent="0.45">
      <c r="A70" s="1">
        <v>3</v>
      </c>
      <c r="B70" s="1">
        <v>94</v>
      </c>
      <c r="C70" s="1" t="s">
        <v>21</v>
      </c>
      <c r="D70" s="1">
        <v>1</v>
      </c>
      <c r="F70" s="1" t="b">
        <v>1</v>
      </c>
      <c r="J70" s="1">
        <v>5</v>
      </c>
      <c r="K70" s="1">
        <v>3</v>
      </c>
      <c r="L70" s="1">
        <v>5</v>
      </c>
    </row>
    <row r="71" spans="1:12" x14ac:dyDescent="0.45">
      <c r="A71" s="1">
        <v>3</v>
      </c>
      <c r="B71" s="1">
        <v>95</v>
      </c>
      <c r="C71" s="1" t="s">
        <v>26</v>
      </c>
      <c r="D71" s="1">
        <v>3</v>
      </c>
      <c r="E71" s="1" t="b">
        <v>1</v>
      </c>
      <c r="G71" s="1" t="b">
        <v>1</v>
      </c>
      <c r="I71" s="1" t="b">
        <v>1</v>
      </c>
      <c r="J71" s="1">
        <v>5</v>
      </c>
      <c r="K71" s="1">
        <v>5</v>
      </c>
      <c r="L71" s="1">
        <v>5</v>
      </c>
    </row>
    <row r="72" spans="1:12" x14ac:dyDescent="0.45">
      <c r="A72" s="1">
        <v>3</v>
      </c>
      <c r="B72" s="1">
        <v>96</v>
      </c>
      <c r="C72" s="1" t="s">
        <v>13</v>
      </c>
      <c r="D72" s="1">
        <v>1</v>
      </c>
      <c r="E72" s="1" t="b">
        <v>1</v>
      </c>
      <c r="J72" s="1">
        <v>4</v>
      </c>
      <c r="K72" s="1">
        <v>2</v>
      </c>
      <c r="L72" s="1">
        <v>4</v>
      </c>
    </row>
    <row r="73" spans="1:12" x14ac:dyDescent="0.45">
      <c r="A73" s="1">
        <v>3</v>
      </c>
      <c r="B73" s="1">
        <v>97</v>
      </c>
      <c r="C73" s="1" t="s">
        <v>9</v>
      </c>
      <c r="D73" s="1">
        <v>2</v>
      </c>
      <c r="E73" s="1" t="b">
        <v>1</v>
      </c>
      <c r="G73" s="1" t="b">
        <v>1</v>
      </c>
      <c r="J73" s="1">
        <v>5</v>
      </c>
      <c r="K73" s="1">
        <v>5</v>
      </c>
      <c r="L73" s="1">
        <v>5</v>
      </c>
    </row>
    <row r="74" spans="1:12" x14ac:dyDescent="0.45">
      <c r="A74" s="1">
        <v>3</v>
      </c>
      <c r="B74" s="1">
        <v>98</v>
      </c>
      <c r="C74" s="1" t="s">
        <v>16</v>
      </c>
      <c r="D74" s="1">
        <v>1</v>
      </c>
      <c r="H74" s="1" t="b">
        <v>1</v>
      </c>
      <c r="J74" s="1">
        <v>1</v>
      </c>
      <c r="K74" s="1">
        <v>1</v>
      </c>
      <c r="L74" s="1">
        <v>5</v>
      </c>
    </row>
    <row r="75" spans="1:12" x14ac:dyDescent="0.45">
      <c r="A75" s="1">
        <v>3</v>
      </c>
      <c r="B75" s="1">
        <v>99</v>
      </c>
      <c r="C75" s="1" t="s">
        <v>13</v>
      </c>
      <c r="D75" s="1">
        <v>1</v>
      </c>
      <c r="E75" s="1" t="b">
        <v>1</v>
      </c>
      <c r="J75" s="1">
        <v>5</v>
      </c>
      <c r="K75" s="1">
        <v>5</v>
      </c>
      <c r="L75" s="1">
        <v>5</v>
      </c>
    </row>
    <row r="76" spans="1:12" x14ac:dyDescent="0.45">
      <c r="A76" s="1">
        <v>3</v>
      </c>
      <c r="B76" s="1">
        <v>100</v>
      </c>
      <c r="C76" s="1" t="s">
        <v>21</v>
      </c>
      <c r="D76" s="1">
        <v>1</v>
      </c>
      <c r="F76" s="1" t="b">
        <v>1</v>
      </c>
      <c r="J76" s="1">
        <v>3</v>
      </c>
      <c r="K76" s="1">
        <v>2</v>
      </c>
      <c r="L76" s="1">
        <v>4</v>
      </c>
    </row>
    <row r="77" spans="1:12" x14ac:dyDescent="0.45">
      <c r="A77" s="1">
        <v>3</v>
      </c>
      <c r="B77" s="1">
        <v>101</v>
      </c>
      <c r="C77" s="1" t="s">
        <v>13</v>
      </c>
      <c r="D77" s="1">
        <v>1</v>
      </c>
      <c r="E77" s="1" t="b">
        <v>1</v>
      </c>
      <c r="J77" s="1">
        <v>5</v>
      </c>
      <c r="K77" s="1">
        <v>5</v>
      </c>
      <c r="L77" s="1">
        <v>5</v>
      </c>
    </row>
    <row r="78" spans="1:12" x14ac:dyDescent="0.45">
      <c r="A78" s="1">
        <v>3</v>
      </c>
      <c r="B78" s="1">
        <v>102</v>
      </c>
      <c r="C78" s="1" t="s">
        <v>13</v>
      </c>
      <c r="D78" s="1">
        <v>1</v>
      </c>
      <c r="E78" s="1" t="b">
        <v>1</v>
      </c>
      <c r="J78" s="1">
        <v>5</v>
      </c>
      <c r="K78" s="1">
        <v>3</v>
      </c>
      <c r="L78" s="1">
        <v>2</v>
      </c>
    </row>
    <row r="79" spans="1:12" x14ac:dyDescent="0.45">
      <c r="A79" s="1">
        <v>3</v>
      </c>
      <c r="B79" s="1">
        <v>103</v>
      </c>
      <c r="C79" s="1" t="s">
        <v>9</v>
      </c>
      <c r="D79" s="1">
        <v>2</v>
      </c>
      <c r="E79" s="1" t="b">
        <v>1</v>
      </c>
      <c r="G79" s="1" t="b">
        <v>1</v>
      </c>
      <c r="J79" s="1">
        <v>5</v>
      </c>
      <c r="K79" s="1">
        <v>5</v>
      </c>
      <c r="L79" s="1">
        <v>5</v>
      </c>
    </row>
    <row r="80" spans="1:12" x14ac:dyDescent="0.45">
      <c r="A80" s="1">
        <v>3</v>
      </c>
      <c r="B80" s="1">
        <v>104</v>
      </c>
      <c r="C80" s="1" t="s">
        <v>13</v>
      </c>
      <c r="D80" s="1">
        <v>1</v>
      </c>
      <c r="E80" s="1" t="b">
        <v>1</v>
      </c>
      <c r="J80" s="1">
        <v>5</v>
      </c>
      <c r="K80" s="1">
        <v>3</v>
      </c>
      <c r="L80" s="1">
        <v>1</v>
      </c>
    </row>
    <row r="81" spans="1:13" x14ac:dyDescent="0.45">
      <c r="A81" s="1">
        <v>3</v>
      </c>
      <c r="B81" s="1">
        <v>106</v>
      </c>
      <c r="C81" s="1" t="s">
        <v>32</v>
      </c>
      <c r="D81" s="1">
        <v>4</v>
      </c>
      <c r="E81" s="1" t="b">
        <v>1</v>
      </c>
      <c r="F81" s="1" t="b">
        <v>1</v>
      </c>
      <c r="G81" s="1" t="b">
        <v>1</v>
      </c>
      <c r="I81" s="1" t="b">
        <v>1</v>
      </c>
      <c r="J81" s="1">
        <v>5</v>
      </c>
      <c r="K81" s="1">
        <v>5</v>
      </c>
      <c r="L81" s="1">
        <v>5</v>
      </c>
    </row>
    <row r="82" spans="1:13" x14ac:dyDescent="0.45">
      <c r="A82" s="1">
        <v>3</v>
      </c>
      <c r="B82" s="1">
        <v>107</v>
      </c>
      <c r="C82" s="1" t="s">
        <v>32</v>
      </c>
      <c r="D82" s="1">
        <v>4</v>
      </c>
      <c r="E82" s="1" t="b">
        <v>1</v>
      </c>
      <c r="F82" s="1" t="b">
        <v>1</v>
      </c>
      <c r="G82" s="1" t="b">
        <v>1</v>
      </c>
      <c r="I82" s="1" t="b">
        <v>1</v>
      </c>
      <c r="J82" s="1">
        <v>5</v>
      </c>
      <c r="K82" s="1">
        <v>5</v>
      </c>
      <c r="L82" s="1">
        <v>5</v>
      </c>
    </row>
    <row r="83" spans="1:13" x14ac:dyDescent="0.45">
      <c r="A83" s="1">
        <v>3</v>
      </c>
      <c r="B83" s="1">
        <v>108</v>
      </c>
      <c r="C83" s="1" t="s">
        <v>32</v>
      </c>
      <c r="D83" s="1">
        <v>4</v>
      </c>
      <c r="E83" s="1" t="b">
        <v>1</v>
      </c>
      <c r="F83" s="1" t="b">
        <v>1</v>
      </c>
      <c r="G83" s="1" t="b">
        <v>1</v>
      </c>
      <c r="I83" s="1" t="b">
        <v>1</v>
      </c>
      <c r="J83" s="1">
        <v>5</v>
      </c>
      <c r="K83" s="1">
        <v>5</v>
      </c>
      <c r="L83" s="1">
        <v>5</v>
      </c>
    </row>
    <row r="84" spans="1:13" x14ac:dyDescent="0.45">
      <c r="A84" s="1">
        <v>3</v>
      </c>
      <c r="B84" s="1">
        <v>109</v>
      </c>
      <c r="C84" s="1" t="s">
        <v>32</v>
      </c>
      <c r="D84" s="1">
        <v>4</v>
      </c>
      <c r="E84" s="1" t="b">
        <v>1</v>
      </c>
      <c r="F84" s="1" t="b">
        <v>1</v>
      </c>
      <c r="G84" s="1" t="b">
        <v>1</v>
      </c>
      <c r="I84" s="1" t="b">
        <v>1</v>
      </c>
      <c r="J84" s="1">
        <v>5</v>
      </c>
      <c r="K84" s="1">
        <v>5</v>
      </c>
      <c r="L84" s="1">
        <v>5</v>
      </c>
    </row>
    <row r="85" spans="1:13" x14ac:dyDescent="0.45">
      <c r="A85" s="1">
        <v>3</v>
      </c>
      <c r="B85" s="1">
        <v>16</v>
      </c>
      <c r="C85" s="1" t="s">
        <v>33</v>
      </c>
      <c r="D85" s="1">
        <v>2</v>
      </c>
      <c r="E85" s="1" t="b">
        <v>1</v>
      </c>
      <c r="F85" s="1" t="b">
        <v>1</v>
      </c>
      <c r="J85" s="1">
        <v>3</v>
      </c>
      <c r="K85" s="1">
        <v>1</v>
      </c>
      <c r="L85" s="1">
        <v>4</v>
      </c>
    </row>
    <row r="86" spans="1:13" x14ac:dyDescent="0.45">
      <c r="A86" s="1">
        <v>3</v>
      </c>
      <c r="B86" s="1">
        <v>17</v>
      </c>
      <c r="C86" s="1" t="s">
        <v>31</v>
      </c>
      <c r="D86" s="1">
        <v>2</v>
      </c>
      <c r="F86" s="1" t="b">
        <v>1</v>
      </c>
      <c r="G86" s="1" t="b">
        <v>1</v>
      </c>
      <c r="J86" s="1">
        <v>5</v>
      </c>
      <c r="K86" s="1">
        <v>4</v>
      </c>
      <c r="L86" s="1">
        <v>3</v>
      </c>
    </row>
    <row r="87" spans="1:13" x14ac:dyDescent="0.45">
      <c r="A87" s="1">
        <v>3</v>
      </c>
      <c r="B87" s="1">
        <v>18</v>
      </c>
      <c r="C87" s="1" t="s">
        <v>24</v>
      </c>
      <c r="D87" s="1">
        <v>4</v>
      </c>
      <c r="E87" s="1" t="b">
        <v>1</v>
      </c>
      <c r="F87" s="1" t="b">
        <v>1</v>
      </c>
      <c r="G87" s="1" t="b">
        <v>1</v>
      </c>
      <c r="I87" s="1" t="b">
        <v>1</v>
      </c>
      <c r="J87" s="1">
        <v>5</v>
      </c>
      <c r="K87" s="1">
        <v>5</v>
      </c>
      <c r="L87" s="1">
        <v>4</v>
      </c>
    </row>
    <row r="88" spans="1:13" x14ac:dyDescent="0.45">
      <c r="A88" s="1">
        <v>3</v>
      </c>
      <c r="B88" s="1">
        <v>19</v>
      </c>
      <c r="C88" s="1" t="s">
        <v>5</v>
      </c>
      <c r="D88" s="1">
        <v>1</v>
      </c>
      <c r="G88" s="1" t="b">
        <v>1</v>
      </c>
      <c r="J88" s="1">
        <v>4</v>
      </c>
      <c r="K88" s="1">
        <v>4</v>
      </c>
      <c r="L88" s="1">
        <v>4</v>
      </c>
    </row>
    <row r="89" spans="1:13" x14ac:dyDescent="0.45">
      <c r="A89" s="1">
        <v>3</v>
      </c>
      <c r="B89" s="1">
        <v>20</v>
      </c>
      <c r="C89" s="1" t="s">
        <v>18</v>
      </c>
      <c r="D89" s="1">
        <v>1</v>
      </c>
      <c r="J89" s="1">
        <v>5</v>
      </c>
      <c r="K89" s="1">
        <v>2</v>
      </c>
      <c r="L89" s="1">
        <v>4</v>
      </c>
      <c r="M89" t="s">
        <v>35</v>
      </c>
    </row>
    <row r="90" spans="1:13" x14ac:dyDescent="0.45">
      <c r="A90" s="1">
        <v>3</v>
      </c>
      <c r="B90" s="1">
        <v>21</v>
      </c>
      <c r="C90" s="1" t="s">
        <v>31</v>
      </c>
      <c r="D90" s="1">
        <v>2</v>
      </c>
      <c r="F90" s="1" t="b">
        <v>1</v>
      </c>
      <c r="G90" s="1" t="b">
        <v>1</v>
      </c>
      <c r="J90" s="1">
        <v>4</v>
      </c>
      <c r="K90" s="1">
        <v>3</v>
      </c>
      <c r="L90" s="1">
        <v>3</v>
      </c>
    </row>
    <row r="91" spans="1:13" x14ac:dyDescent="0.45">
      <c r="A91" s="1">
        <v>3</v>
      </c>
      <c r="B91" s="1">
        <v>22</v>
      </c>
      <c r="C91" s="1" t="s">
        <v>34</v>
      </c>
      <c r="D91" s="1">
        <v>2</v>
      </c>
      <c r="E91" s="1" t="b">
        <v>1</v>
      </c>
      <c r="F91" s="1" t="b">
        <v>1</v>
      </c>
      <c r="J91" s="1">
        <v>5</v>
      </c>
      <c r="K91" s="1">
        <v>3</v>
      </c>
      <c r="L91" s="1">
        <v>3</v>
      </c>
    </row>
    <row r="92" spans="1:13" x14ac:dyDescent="0.45">
      <c r="A92" s="1">
        <v>3</v>
      </c>
      <c r="B92" s="1">
        <v>23</v>
      </c>
      <c r="C92" s="1" t="s">
        <v>31</v>
      </c>
      <c r="D92" s="1">
        <v>2</v>
      </c>
      <c r="F92" s="1" t="b">
        <v>1</v>
      </c>
      <c r="G92" s="1" t="b">
        <v>1</v>
      </c>
      <c r="J92" s="1">
        <v>5</v>
      </c>
      <c r="K92" s="1">
        <v>3</v>
      </c>
      <c r="L92" s="1">
        <v>4</v>
      </c>
    </row>
    <row r="93" spans="1:13" x14ac:dyDescent="0.45">
      <c r="A93" s="1">
        <v>3</v>
      </c>
      <c r="B93" s="1">
        <v>24</v>
      </c>
      <c r="C93" s="1" t="s">
        <v>34</v>
      </c>
      <c r="D93" s="1">
        <v>2</v>
      </c>
      <c r="E93" s="1" t="b">
        <v>1</v>
      </c>
      <c r="F93" s="1" t="b">
        <v>1</v>
      </c>
      <c r="J93" s="1">
        <v>4</v>
      </c>
      <c r="K93" s="1">
        <v>2</v>
      </c>
      <c r="L93" s="1">
        <v>4</v>
      </c>
    </row>
    <row r="94" spans="1:13" x14ac:dyDescent="0.45">
      <c r="A94" s="1">
        <v>3</v>
      </c>
      <c r="B94" s="1">
        <v>25</v>
      </c>
      <c r="C94" s="1" t="s">
        <v>36</v>
      </c>
      <c r="D94" s="1">
        <v>4</v>
      </c>
      <c r="E94" s="1" t="b">
        <v>1</v>
      </c>
      <c r="F94" s="1" t="b">
        <v>1</v>
      </c>
      <c r="G94" s="1" t="b">
        <v>1</v>
      </c>
      <c r="H94" s="1" t="b">
        <v>1</v>
      </c>
      <c r="J94" s="1">
        <v>4</v>
      </c>
      <c r="K94" s="1">
        <v>4</v>
      </c>
      <c r="L94" s="1">
        <v>3</v>
      </c>
    </row>
    <row r="95" spans="1:13" x14ac:dyDescent="0.45">
      <c r="A95" s="1">
        <v>3</v>
      </c>
      <c r="B95" s="1">
        <v>26</v>
      </c>
      <c r="C95" s="1" t="s">
        <v>34</v>
      </c>
      <c r="D95" s="1">
        <v>2</v>
      </c>
      <c r="E95" s="1" t="b">
        <v>1</v>
      </c>
      <c r="F95" s="1" t="b">
        <v>1</v>
      </c>
      <c r="J95" s="1">
        <v>5</v>
      </c>
      <c r="K95" s="1">
        <v>3</v>
      </c>
      <c r="L95" s="1">
        <v>4</v>
      </c>
      <c r="M95" t="s">
        <v>37</v>
      </c>
    </row>
    <row r="96" spans="1:13" x14ac:dyDescent="0.45">
      <c r="A96" s="1">
        <v>3</v>
      </c>
      <c r="B96" s="1">
        <v>27</v>
      </c>
      <c r="C96" s="1" t="s">
        <v>11</v>
      </c>
      <c r="D96" s="1">
        <v>3</v>
      </c>
      <c r="E96" s="1" t="b">
        <v>1</v>
      </c>
      <c r="F96" s="1" t="b">
        <v>1</v>
      </c>
      <c r="G96" s="1" t="b">
        <v>1</v>
      </c>
      <c r="J96" s="1">
        <v>5</v>
      </c>
      <c r="K96" s="1">
        <v>4</v>
      </c>
      <c r="L96" s="1">
        <v>4</v>
      </c>
    </row>
    <row r="97" spans="1:13" x14ac:dyDescent="0.45">
      <c r="A97" s="1">
        <v>3</v>
      </c>
      <c r="B97" s="1">
        <v>28</v>
      </c>
      <c r="C97" s="1" t="s">
        <v>5</v>
      </c>
      <c r="D97" s="1">
        <v>1</v>
      </c>
      <c r="G97" s="1" t="b">
        <v>1</v>
      </c>
      <c r="J97" s="1">
        <v>3</v>
      </c>
      <c r="K97" s="1">
        <v>2</v>
      </c>
      <c r="L97" s="1">
        <v>2</v>
      </c>
    </row>
    <row r="98" spans="1:13" x14ac:dyDescent="0.45">
      <c r="A98" s="1">
        <v>3</v>
      </c>
      <c r="B98" s="1">
        <v>29</v>
      </c>
      <c r="C98" s="1" t="s">
        <v>34</v>
      </c>
      <c r="D98" s="1">
        <v>2</v>
      </c>
      <c r="E98" s="1" t="b">
        <v>1</v>
      </c>
      <c r="F98" s="1" t="b">
        <v>1</v>
      </c>
      <c r="J98" s="1">
        <v>4</v>
      </c>
      <c r="K98" s="1">
        <v>2</v>
      </c>
      <c r="L98" s="1">
        <v>1</v>
      </c>
    </row>
    <row r="99" spans="1:13" x14ac:dyDescent="0.45">
      <c r="A99" s="1">
        <v>3</v>
      </c>
      <c r="B99" s="1">
        <v>30</v>
      </c>
      <c r="C99" s="1" t="s">
        <v>31</v>
      </c>
      <c r="D99" s="1">
        <v>2</v>
      </c>
      <c r="F99" s="1" t="b">
        <v>1</v>
      </c>
      <c r="G99" s="1" t="b">
        <v>1</v>
      </c>
      <c r="J99" s="1">
        <v>5</v>
      </c>
      <c r="K99" s="1">
        <v>3</v>
      </c>
      <c r="L99" s="1">
        <v>3</v>
      </c>
    </row>
    <row r="100" spans="1:13" x14ac:dyDescent="0.45">
      <c r="A100" s="1">
        <v>3</v>
      </c>
      <c r="B100" s="1">
        <v>31</v>
      </c>
      <c r="C100" s="1" t="s">
        <v>21</v>
      </c>
      <c r="D100" s="1">
        <v>1</v>
      </c>
      <c r="F100" s="1" t="b">
        <v>1</v>
      </c>
      <c r="J100" s="1">
        <v>4</v>
      </c>
      <c r="K100" s="1">
        <v>1</v>
      </c>
      <c r="L100" s="1">
        <v>1</v>
      </c>
      <c r="M100" t="s">
        <v>38</v>
      </c>
    </row>
    <row r="101" spans="1:13" x14ac:dyDescent="0.45">
      <c r="A101" s="1">
        <v>3</v>
      </c>
      <c r="B101" s="1">
        <v>32</v>
      </c>
      <c r="C101" s="1" t="s">
        <v>5</v>
      </c>
      <c r="D101" s="1">
        <v>1</v>
      </c>
      <c r="G101" s="1" t="b">
        <v>1</v>
      </c>
      <c r="J101" s="1">
        <v>5</v>
      </c>
      <c r="K101" s="1">
        <v>4</v>
      </c>
      <c r="L101" s="1">
        <v>4</v>
      </c>
    </row>
    <row r="102" spans="1:13" x14ac:dyDescent="0.45">
      <c r="A102" s="1">
        <v>3</v>
      </c>
      <c r="B102" s="1">
        <v>33</v>
      </c>
      <c r="C102" s="1" t="s">
        <v>21</v>
      </c>
      <c r="D102" s="1">
        <v>1</v>
      </c>
      <c r="F102" s="1" t="b">
        <v>1</v>
      </c>
      <c r="J102" s="1">
        <v>4</v>
      </c>
      <c r="K102" s="1">
        <v>2</v>
      </c>
      <c r="L102" s="1">
        <v>2</v>
      </c>
    </row>
    <row r="103" spans="1:13" x14ac:dyDescent="0.45">
      <c r="A103" s="1">
        <v>3</v>
      </c>
      <c r="B103" s="1">
        <v>34</v>
      </c>
      <c r="C103" s="1" t="s">
        <v>11</v>
      </c>
      <c r="D103" s="1">
        <v>3</v>
      </c>
      <c r="E103" s="1" t="b">
        <v>1</v>
      </c>
      <c r="F103" s="1" t="b">
        <v>1</v>
      </c>
      <c r="G103" s="1" t="b">
        <v>1</v>
      </c>
      <c r="J103" s="1">
        <v>5</v>
      </c>
      <c r="K103" s="1">
        <v>3</v>
      </c>
      <c r="L103" s="1">
        <v>4</v>
      </c>
    </row>
    <row r="104" spans="1:13" x14ac:dyDescent="0.45">
      <c r="A104" s="1">
        <v>3</v>
      </c>
      <c r="B104" s="1">
        <v>35</v>
      </c>
      <c r="C104" s="1" t="s">
        <v>13</v>
      </c>
      <c r="D104" s="1">
        <v>1</v>
      </c>
      <c r="E104" s="1" t="b">
        <v>1</v>
      </c>
      <c r="J104" s="1">
        <v>3</v>
      </c>
      <c r="K104" s="1">
        <v>2</v>
      </c>
      <c r="L104" s="1">
        <v>4</v>
      </c>
    </row>
    <row r="105" spans="1:13" x14ac:dyDescent="0.45">
      <c r="A105" s="1">
        <v>3</v>
      </c>
      <c r="B105" s="1">
        <v>36</v>
      </c>
      <c r="C105" s="1" t="s">
        <v>16</v>
      </c>
      <c r="D105" s="1">
        <v>1</v>
      </c>
      <c r="H105" s="1" t="b">
        <v>1</v>
      </c>
      <c r="J105" s="1">
        <v>1</v>
      </c>
      <c r="K105" s="1">
        <v>1</v>
      </c>
      <c r="L105" s="1">
        <v>1</v>
      </c>
    </row>
    <row r="106" spans="1:13" x14ac:dyDescent="0.45">
      <c r="A106" s="1">
        <v>1</v>
      </c>
      <c r="B106" s="1">
        <v>58</v>
      </c>
      <c r="C106" s="1" t="s">
        <v>39</v>
      </c>
      <c r="D106" s="1">
        <v>2</v>
      </c>
      <c r="G106" s="1" t="b">
        <v>1</v>
      </c>
      <c r="I106" s="1" t="b">
        <v>1</v>
      </c>
      <c r="J106" s="1">
        <v>5</v>
      </c>
      <c r="K106" s="1">
        <v>5</v>
      </c>
      <c r="L106" s="1">
        <v>4</v>
      </c>
    </row>
    <row r="107" spans="1:13" x14ac:dyDescent="0.45">
      <c r="A107" s="1">
        <v>1</v>
      </c>
      <c r="B107" s="1">
        <v>59</v>
      </c>
      <c r="C107" s="1" t="s">
        <v>7</v>
      </c>
      <c r="D107" s="1">
        <v>3</v>
      </c>
      <c r="F107" s="1" t="b">
        <v>1</v>
      </c>
      <c r="G107" s="1" t="b">
        <v>1</v>
      </c>
      <c r="H107" s="1" t="b">
        <v>1</v>
      </c>
      <c r="J107" s="1">
        <v>4</v>
      </c>
      <c r="K107" s="1">
        <v>3</v>
      </c>
      <c r="L107" s="1">
        <v>4</v>
      </c>
      <c r="M107" t="s">
        <v>42</v>
      </c>
    </row>
    <row r="108" spans="1:13" x14ac:dyDescent="0.45">
      <c r="A108" s="1">
        <v>1</v>
      </c>
      <c r="B108" s="1">
        <v>60</v>
      </c>
      <c r="C108" s="1" t="s">
        <v>41</v>
      </c>
      <c r="D108" s="1">
        <v>3</v>
      </c>
      <c r="E108" s="1" t="b">
        <v>1</v>
      </c>
      <c r="F108" s="1" t="b">
        <v>1</v>
      </c>
      <c r="H108" s="1" t="b">
        <v>1</v>
      </c>
      <c r="J108" s="1">
        <v>3</v>
      </c>
      <c r="K108" s="1">
        <v>4</v>
      </c>
      <c r="L108" s="1">
        <v>3</v>
      </c>
    </row>
    <row r="109" spans="1:13" x14ac:dyDescent="0.45">
      <c r="A109" s="1">
        <v>1</v>
      </c>
      <c r="B109" s="1">
        <v>61</v>
      </c>
      <c r="C109" s="1" t="s">
        <v>40</v>
      </c>
      <c r="D109" s="1">
        <v>3</v>
      </c>
      <c r="E109" s="1" t="b">
        <v>1</v>
      </c>
      <c r="G109" s="1" t="b">
        <v>1</v>
      </c>
      <c r="H109" s="1" t="b">
        <v>1</v>
      </c>
      <c r="J109" s="1">
        <v>2</v>
      </c>
      <c r="K109" s="1">
        <v>5</v>
      </c>
      <c r="L109" s="1">
        <v>3</v>
      </c>
    </row>
    <row r="110" spans="1:13" x14ac:dyDescent="0.45">
      <c r="A110" s="1">
        <v>1</v>
      </c>
      <c r="B110" s="1">
        <v>62</v>
      </c>
      <c r="C110" s="1" t="s">
        <v>43</v>
      </c>
      <c r="D110" s="1">
        <v>3</v>
      </c>
      <c r="F110" s="1" t="b">
        <v>1</v>
      </c>
      <c r="G110" s="1" t="b">
        <v>1</v>
      </c>
      <c r="I110" s="1" t="b">
        <v>1</v>
      </c>
      <c r="J110" s="1">
        <v>3</v>
      </c>
      <c r="K110" s="1">
        <v>4</v>
      </c>
      <c r="L110" s="1">
        <v>4</v>
      </c>
    </row>
    <row r="111" spans="1:13" x14ac:dyDescent="0.45">
      <c r="A111" s="1">
        <v>1</v>
      </c>
      <c r="B111" s="1">
        <v>63</v>
      </c>
      <c r="C111" s="1" t="s">
        <v>41</v>
      </c>
      <c r="D111" s="1">
        <v>3</v>
      </c>
      <c r="E111" s="1" t="b">
        <v>1</v>
      </c>
      <c r="F111" s="1" t="b">
        <v>1</v>
      </c>
      <c r="H111" s="1" t="b">
        <v>1</v>
      </c>
      <c r="J111" s="1">
        <v>3</v>
      </c>
      <c r="K111" s="1">
        <v>5</v>
      </c>
      <c r="L111" s="1">
        <v>4</v>
      </c>
      <c r="M111" t="s">
        <v>44</v>
      </c>
    </row>
    <row r="112" spans="1:13" x14ac:dyDescent="0.45">
      <c r="A112" s="1">
        <v>1</v>
      </c>
      <c r="B112" s="1">
        <v>64</v>
      </c>
      <c r="C112" s="1" t="s">
        <v>31</v>
      </c>
      <c r="D112" s="1">
        <v>2</v>
      </c>
      <c r="F112" s="1" t="b">
        <v>1</v>
      </c>
      <c r="G112" s="1" t="b">
        <v>1</v>
      </c>
      <c r="J112" s="1">
        <v>4</v>
      </c>
      <c r="K112" s="1">
        <v>5</v>
      </c>
      <c r="L112" s="1">
        <v>5</v>
      </c>
    </row>
    <row r="113" spans="1:13" x14ac:dyDescent="0.45">
      <c r="A113" s="1">
        <v>1</v>
      </c>
      <c r="B113" s="1">
        <v>48</v>
      </c>
      <c r="C113" s="1" t="s">
        <v>46</v>
      </c>
      <c r="D113" s="1">
        <v>3</v>
      </c>
      <c r="E113" s="1" t="b">
        <v>1</v>
      </c>
      <c r="F113" s="1" t="b">
        <v>1</v>
      </c>
      <c r="I113" s="1" t="b">
        <v>1</v>
      </c>
      <c r="J113" s="1">
        <v>5</v>
      </c>
      <c r="K113" s="1">
        <v>5</v>
      </c>
      <c r="L113" s="1">
        <v>5</v>
      </c>
    </row>
    <row r="114" spans="1:13" x14ac:dyDescent="0.45">
      <c r="A114" s="1">
        <v>1</v>
      </c>
      <c r="B114" s="1">
        <v>49</v>
      </c>
      <c r="C114" s="1" t="s">
        <v>16</v>
      </c>
      <c r="D114" s="1">
        <v>1</v>
      </c>
      <c r="H114" s="1" t="b">
        <v>1</v>
      </c>
      <c r="J114" s="1">
        <v>2</v>
      </c>
      <c r="K114" s="1">
        <v>2</v>
      </c>
      <c r="L114" s="1">
        <v>2</v>
      </c>
    </row>
    <row r="115" spans="1:13" x14ac:dyDescent="0.45">
      <c r="A115" s="1">
        <v>1</v>
      </c>
      <c r="B115" s="1">
        <v>50</v>
      </c>
      <c r="C115" s="1" t="s">
        <v>47</v>
      </c>
      <c r="D115" s="1">
        <v>2</v>
      </c>
      <c r="E115" s="1" t="b">
        <v>1</v>
      </c>
      <c r="H115" s="1" t="b">
        <v>1</v>
      </c>
      <c r="J115" s="1">
        <v>2</v>
      </c>
      <c r="K115" s="1">
        <v>3</v>
      </c>
      <c r="L115" s="1">
        <v>2</v>
      </c>
      <c r="M115" t="s">
        <v>49</v>
      </c>
    </row>
    <row r="116" spans="1:13" x14ac:dyDescent="0.45">
      <c r="A116" s="1">
        <v>1</v>
      </c>
      <c r="B116" s="1">
        <v>51</v>
      </c>
      <c r="C116" s="1" t="s">
        <v>12</v>
      </c>
      <c r="D116" s="1">
        <v>2</v>
      </c>
      <c r="E116" s="1" t="b">
        <v>1</v>
      </c>
      <c r="I116" s="1" t="b">
        <v>1</v>
      </c>
      <c r="J116" s="1">
        <v>5</v>
      </c>
      <c r="K116" s="1">
        <v>3</v>
      </c>
      <c r="L116" s="1">
        <v>5</v>
      </c>
    </row>
    <row r="117" spans="1:13" x14ac:dyDescent="0.45">
      <c r="A117" s="1">
        <v>1</v>
      </c>
      <c r="B117" s="1">
        <v>52</v>
      </c>
      <c r="C117" s="1" t="s">
        <v>48</v>
      </c>
      <c r="D117" s="1">
        <v>2</v>
      </c>
      <c r="F117" s="1" t="b">
        <v>1</v>
      </c>
      <c r="G117" s="1" t="b">
        <v>1</v>
      </c>
      <c r="J117" s="1">
        <v>4</v>
      </c>
      <c r="K117" s="1">
        <v>4</v>
      </c>
      <c r="L117" s="1">
        <v>5</v>
      </c>
    </row>
    <row r="118" spans="1:13" x14ac:dyDescent="0.45">
      <c r="A118" s="1">
        <v>1</v>
      </c>
      <c r="B118" s="1">
        <v>53</v>
      </c>
      <c r="C118" s="1" t="s">
        <v>16</v>
      </c>
      <c r="D118" s="1">
        <v>1</v>
      </c>
      <c r="H118" s="1" t="b">
        <v>1</v>
      </c>
      <c r="J118" s="1">
        <v>3</v>
      </c>
      <c r="K118" s="1">
        <v>1</v>
      </c>
      <c r="L118" s="1">
        <v>1</v>
      </c>
    </row>
    <row r="119" spans="1:13" x14ac:dyDescent="0.45">
      <c r="A119" s="1">
        <v>1</v>
      </c>
      <c r="B119" s="1">
        <v>54</v>
      </c>
      <c r="C119" s="1" t="s">
        <v>11</v>
      </c>
      <c r="D119" s="1">
        <v>3</v>
      </c>
      <c r="E119" s="1" t="b">
        <v>1</v>
      </c>
      <c r="F119" s="1" t="b">
        <v>1</v>
      </c>
      <c r="G119" s="1" t="b">
        <v>1</v>
      </c>
      <c r="J119" s="1">
        <v>4</v>
      </c>
      <c r="K119" s="1">
        <v>4</v>
      </c>
      <c r="L119" s="1">
        <v>5</v>
      </c>
    </row>
    <row r="120" spans="1:13" x14ac:dyDescent="0.45">
      <c r="A120" s="1">
        <v>1</v>
      </c>
      <c r="B120" s="1">
        <v>44</v>
      </c>
      <c r="C120" s="1" t="s">
        <v>24</v>
      </c>
      <c r="D120" s="1">
        <v>4</v>
      </c>
      <c r="E120" s="1" t="b">
        <v>1</v>
      </c>
      <c r="F120" s="1" t="b">
        <v>1</v>
      </c>
      <c r="G120" s="1" t="b">
        <v>1</v>
      </c>
      <c r="I120" s="1" t="b">
        <v>1</v>
      </c>
      <c r="J120" s="1">
        <v>5</v>
      </c>
      <c r="K120" s="1">
        <v>5</v>
      </c>
      <c r="L120" s="1">
        <v>5</v>
      </c>
    </row>
    <row r="121" spans="1:13" x14ac:dyDescent="0.45">
      <c r="A121" s="1">
        <v>1</v>
      </c>
      <c r="B121" s="1">
        <v>45</v>
      </c>
      <c r="C121" s="1" t="s">
        <v>50</v>
      </c>
      <c r="D121" s="1">
        <v>2</v>
      </c>
      <c r="F121" s="1" t="b">
        <v>1</v>
      </c>
      <c r="H121" s="1" t="b">
        <v>1</v>
      </c>
      <c r="J121" s="1">
        <v>4</v>
      </c>
      <c r="K121" s="1">
        <v>1</v>
      </c>
      <c r="L121" s="1">
        <v>2</v>
      </c>
      <c r="M121" t="s">
        <v>51</v>
      </c>
    </row>
    <row r="122" spans="1:13" x14ac:dyDescent="0.45">
      <c r="A122" s="1">
        <v>1</v>
      </c>
      <c r="B122" s="1">
        <v>46</v>
      </c>
      <c r="C122" s="1" t="s">
        <v>43</v>
      </c>
      <c r="D122" s="1">
        <v>3</v>
      </c>
      <c r="F122" s="1" t="b">
        <v>1</v>
      </c>
      <c r="G122" s="1" t="b">
        <v>1</v>
      </c>
      <c r="I122" s="1" t="b">
        <v>1</v>
      </c>
      <c r="J122" s="1">
        <v>4</v>
      </c>
      <c r="K122" s="1">
        <v>4</v>
      </c>
      <c r="L122" s="1">
        <v>5</v>
      </c>
    </row>
    <row r="123" spans="1:13" x14ac:dyDescent="0.45">
      <c r="A123" s="1">
        <v>1</v>
      </c>
      <c r="B123" s="1">
        <v>47</v>
      </c>
      <c r="C123" s="1" t="s">
        <v>13</v>
      </c>
      <c r="D123" s="1">
        <v>1</v>
      </c>
      <c r="E123" s="1" t="b">
        <v>1</v>
      </c>
      <c r="J123" s="1">
        <v>5</v>
      </c>
      <c r="K123" s="1">
        <v>5</v>
      </c>
      <c r="L123" s="1">
        <v>5</v>
      </c>
    </row>
    <row r="124" spans="1:13" x14ac:dyDescent="0.45">
      <c r="A124" s="1" t="s">
        <v>56</v>
      </c>
      <c r="D124" s="9">
        <f>SUBTOTAL(101,Table1[Column1])</f>
        <v>1.8032786885245902</v>
      </c>
      <c r="E124" s="1">
        <f>SUBTOTAL(103,Table1[A.RootCause])</f>
        <v>75</v>
      </c>
      <c r="F124" s="1">
        <f>SUBTOTAL(103,Table1[B.DescripProgram])</f>
        <v>51</v>
      </c>
      <c r="G124" s="1">
        <f>SUBTOTAL(103,Table1[C.DescripFailure])</f>
        <v>46</v>
      </c>
      <c r="H124" s="1">
        <f>SUBTOTAL(103,Table1[D.MoreInformation])</f>
        <v>15</v>
      </c>
      <c r="I124" s="1">
        <f>SUBTOTAL(103,Table1[E.SuggestFaultRemoval])</f>
        <v>29</v>
      </c>
      <c r="M124">
        <f>SUBTOTAL(103,Table1[FollowUpQuestion])</f>
        <v>11</v>
      </c>
    </row>
    <row r="127" spans="1:13" x14ac:dyDescent="0.45">
      <c r="B127" s="1" t="s">
        <v>114</v>
      </c>
      <c r="C127" s="1" t="s">
        <v>117</v>
      </c>
      <c r="D127" s="1" t="s">
        <v>118</v>
      </c>
    </row>
    <row r="128" spans="1:13" x14ac:dyDescent="0.45">
      <c r="B128" s="22" t="s">
        <v>112</v>
      </c>
      <c r="C128" s="1">
        <v>75</v>
      </c>
      <c r="D128" s="1">
        <v>31</v>
      </c>
      <c r="F128" s="1">
        <f>Table2[[#This Row],[Unique occurrences]]/Table2[[#This Row],[All occurrences]]</f>
        <v>0.41333333333333333</v>
      </c>
    </row>
    <row r="129" spans="2:4" x14ac:dyDescent="0.45">
      <c r="B129" s="22" t="s">
        <v>108</v>
      </c>
      <c r="C129" s="1">
        <v>51</v>
      </c>
      <c r="D129" s="1">
        <v>7</v>
      </c>
    </row>
    <row r="130" spans="2:4" x14ac:dyDescent="0.45">
      <c r="B130" s="22" t="s">
        <v>109</v>
      </c>
      <c r="C130" s="1">
        <v>46</v>
      </c>
      <c r="D130" s="1">
        <v>6</v>
      </c>
    </row>
    <row r="131" spans="2:4" x14ac:dyDescent="0.45">
      <c r="B131" s="22" t="s">
        <v>111</v>
      </c>
      <c r="C131" s="1">
        <v>29</v>
      </c>
      <c r="D131" s="1">
        <v>3</v>
      </c>
    </row>
    <row r="132" spans="2:4" x14ac:dyDescent="0.45">
      <c r="B132" s="22" t="s">
        <v>110</v>
      </c>
      <c r="C132" s="1">
        <v>15</v>
      </c>
      <c r="D132" s="1">
        <v>7</v>
      </c>
    </row>
    <row r="133" spans="2:4" x14ac:dyDescent="0.45">
      <c r="B133" s="22" t="s">
        <v>56</v>
      </c>
      <c r="C133" s="1" t="s">
        <v>115</v>
      </c>
      <c r="D133" s="1" t="s">
        <v>116</v>
      </c>
    </row>
    <row r="135" spans="2:4" x14ac:dyDescent="0.45">
      <c r="B135" s="1" t="s">
        <v>114</v>
      </c>
      <c r="C135" s="1" t="s">
        <v>117</v>
      </c>
      <c r="D135" s="1" t="s">
        <v>113</v>
      </c>
    </row>
    <row r="136" spans="2:4" x14ac:dyDescent="0.45">
      <c r="B136" s="22" t="s">
        <v>112</v>
      </c>
      <c r="C136" s="23">
        <f>C128/Table2[[#Totals],[All occurrences]]</f>
        <v>0.34722222222222221</v>
      </c>
      <c r="D136" s="23">
        <f>D128/Table2[[#Totals],[Unique occurrences]]</f>
        <v>0.57407407407407407</v>
      </c>
    </row>
    <row r="137" spans="2:4" x14ac:dyDescent="0.45">
      <c r="B137" s="22" t="s">
        <v>108</v>
      </c>
      <c r="C137" s="23">
        <f>C129/Table2[[#Totals],[All occurrences]]</f>
        <v>0.2361111111111111</v>
      </c>
      <c r="D137" s="23">
        <f>D129/Table2[[#Totals],[Unique occurrences]]</f>
        <v>0.12962962962962962</v>
      </c>
    </row>
    <row r="138" spans="2:4" x14ac:dyDescent="0.45">
      <c r="B138" s="22" t="s">
        <v>109</v>
      </c>
      <c r="C138" s="23">
        <f>C130/Table2[[#Totals],[All occurrences]]</f>
        <v>0.21296296296296297</v>
      </c>
      <c r="D138" s="23">
        <f>D130/Table2[[#Totals],[Unique occurrences]]</f>
        <v>0.1111111111111111</v>
      </c>
    </row>
    <row r="139" spans="2:4" x14ac:dyDescent="0.45">
      <c r="B139" s="22" t="s">
        <v>111</v>
      </c>
      <c r="C139" s="23">
        <f>C131/Table2[[#Totals],[All occurrences]]</f>
        <v>0.13425925925925927</v>
      </c>
      <c r="D139" s="23">
        <f>D131/Table2[[#Totals],[Unique occurrences]]</f>
        <v>5.5555555555555552E-2</v>
      </c>
    </row>
    <row r="140" spans="2:4" x14ac:dyDescent="0.45">
      <c r="B140" s="22" t="s">
        <v>110</v>
      </c>
      <c r="C140" s="23">
        <f>C132/Table2[[#Totals],[All occurrences]]</f>
        <v>6.9444444444444448E-2</v>
      </c>
      <c r="D140" s="23">
        <f>D132/Table2[[#Totals],[Unique occurrences]]</f>
        <v>0.12962962962962962</v>
      </c>
    </row>
    <row r="141" spans="2:4" x14ac:dyDescent="0.45">
      <c r="B141" s="22" t="s">
        <v>56</v>
      </c>
      <c r="C141" s="23">
        <f>SUBTOTAL(109,Table24[All occurrences])</f>
        <v>1</v>
      </c>
      <c r="D141" s="23">
        <f>SUBTOTAL(109,Table24[Unique Occurrences])</f>
        <v>1</v>
      </c>
    </row>
  </sheetData>
  <pageMargins left="0.7" right="0.7" top="0.75" bottom="0.75" header="0.3" footer="0.3"/>
  <pageSetup orientation="portrait" r:id="rId1"/>
  <drawing r:id="rId2"/>
  <legacyDrawing r:id="rId3"/>
  <tableParts count="3">
    <tablePart r:id="rId4"/>
    <tablePart r:id="rId5"/>
    <tablePart r:id="rId6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1A5A29-15FD-406E-88BF-15B447305F09}">
  <dimension ref="A1:L76"/>
  <sheetViews>
    <sheetView workbookViewId="0">
      <selection activeCell="H15" sqref="H15"/>
    </sheetView>
  </sheetViews>
  <sheetFormatPr defaultRowHeight="14.25" x14ac:dyDescent="0.45"/>
  <cols>
    <col min="1" max="1" width="9.6640625" customWidth="1"/>
    <col min="2" max="2" width="11.3984375" customWidth="1"/>
    <col min="3" max="3" width="11.06640625" customWidth="1"/>
    <col min="4" max="4" width="12" customWidth="1"/>
    <col min="5" max="5" width="11.53125" customWidth="1"/>
    <col min="6" max="6" width="3.1328125" customWidth="1"/>
    <col min="7" max="7" width="16.19921875" customWidth="1"/>
    <col min="8" max="8" width="14.06640625" customWidth="1"/>
    <col min="9" max="9" width="8.46484375" customWidth="1"/>
    <col min="10" max="10" width="8.265625" customWidth="1"/>
    <col min="11" max="11" width="8.1328125" customWidth="1"/>
  </cols>
  <sheetData>
    <row r="1" spans="1:12" x14ac:dyDescent="0.45">
      <c r="A1" s="13" t="s">
        <v>88</v>
      </c>
      <c r="B1" s="13" t="s">
        <v>93</v>
      </c>
      <c r="C1" s="13" t="s">
        <v>89</v>
      </c>
      <c r="D1" s="13" t="s">
        <v>90</v>
      </c>
      <c r="E1" s="13" t="s">
        <v>91</v>
      </c>
    </row>
    <row r="2" spans="1:12" x14ac:dyDescent="0.45">
      <c r="A2" s="3">
        <v>1</v>
      </c>
      <c r="B2" s="3">
        <v>4</v>
      </c>
      <c r="C2" s="3">
        <v>4</v>
      </c>
      <c r="D2" s="3">
        <v>4</v>
      </c>
      <c r="E2" s="3">
        <v>5</v>
      </c>
      <c r="G2" s="4"/>
      <c r="H2" s="12" t="s">
        <v>88</v>
      </c>
      <c r="I2" s="12" t="s">
        <v>93</v>
      </c>
      <c r="J2" s="12" t="s">
        <v>94</v>
      </c>
      <c r="K2" s="12" t="s">
        <v>95</v>
      </c>
      <c r="L2" s="12" t="s">
        <v>91</v>
      </c>
    </row>
    <row r="3" spans="1:12" x14ac:dyDescent="0.45">
      <c r="A3" s="2">
        <v>2</v>
      </c>
      <c r="B3" s="2">
        <v>2</v>
      </c>
      <c r="C3" s="2">
        <v>5</v>
      </c>
      <c r="D3" s="2">
        <v>1</v>
      </c>
      <c r="E3" s="2">
        <v>2</v>
      </c>
      <c r="G3" s="12" t="s">
        <v>88</v>
      </c>
      <c r="H3" s="4"/>
      <c r="I3" s="4"/>
      <c r="J3" s="4"/>
      <c r="K3" s="4"/>
      <c r="L3" s="4"/>
    </row>
    <row r="4" spans="1:12" x14ac:dyDescent="0.45">
      <c r="A4" s="3">
        <v>1</v>
      </c>
      <c r="B4" s="3">
        <v>4</v>
      </c>
      <c r="C4" s="3">
        <v>2</v>
      </c>
      <c r="D4" s="3">
        <v>1</v>
      </c>
      <c r="E4" s="3">
        <v>1</v>
      </c>
      <c r="G4" s="12" t="s">
        <v>93</v>
      </c>
      <c r="H4" s="11">
        <f>TTEST(A2:A76,B2:B52,2,2)</f>
        <v>0.29425767720922713</v>
      </c>
      <c r="I4" s="11"/>
      <c r="J4" s="11"/>
      <c r="K4" s="11"/>
      <c r="L4" s="4"/>
    </row>
    <row r="5" spans="1:12" x14ac:dyDescent="0.45">
      <c r="A5" s="2">
        <v>5</v>
      </c>
      <c r="B5" s="2">
        <v>2</v>
      </c>
      <c r="C5" s="2">
        <v>4</v>
      </c>
      <c r="D5" s="2">
        <v>1</v>
      </c>
      <c r="E5" s="2">
        <v>1</v>
      </c>
      <c r="G5" s="12" t="s">
        <v>94</v>
      </c>
      <c r="H5" s="11">
        <f>TTEST(A2:A76,C2:C52,2,2)</f>
        <v>0.10313559834783678</v>
      </c>
      <c r="I5" s="11">
        <f>TTEST(B2:B52,C2:C47,2,2)</f>
        <v>8.2089496206508832E-3</v>
      </c>
      <c r="J5" s="11"/>
      <c r="K5" s="11"/>
      <c r="L5" s="4"/>
    </row>
    <row r="6" spans="1:12" x14ac:dyDescent="0.45">
      <c r="A6" s="3">
        <v>1</v>
      </c>
      <c r="B6" s="3">
        <v>1</v>
      </c>
      <c r="C6" s="3">
        <v>2</v>
      </c>
      <c r="D6" s="3">
        <v>1</v>
      </c>
      <c r="E6" s="3">
        <v>2</v>
      </c>
      <c r="G6" s="12" t="s">
        <v>90</v>
      </c>
      <c r="H6" s="11">
        <f>TTEST(A2:A76,D2:D52,2,2)</f>
        <v>1.3025406178470155E-2</v>
      </c>
      <c r="I6" s="11">
        <f>TTEST(B2:B52,D2:D16,2,2)</f>
        <v>5.7268060287531966E-2</v>
      </c>
      <c r="J6" s="11">
        <f>TTEST(C2:C47,D2:D16,2,2)</f>
        <v>2.6983059918665747E-4</v>
      </c>
      <c r="K6" s="11"/>
      <c r="L6" s="4"/>
    </row>
    <row r="7" spans="1:12" x14ac:dyDescent="0.45">
      <c r="A7" s="2">
        <v>1</v>
      </c>
      <c r="B7" s="2">
        <v>3</v>
      </c>
      <c r="C7" s="2">
        <v>1</v>
      </c>
      <c r="D7" s="2">
        <v>4</v>
      </c>
      <c r="E7" s="2">
        <v>5</v>
      </c>
      <c r="G7" s="12" t="s">
        <v>91</v>
      </c>
      <c r="H7" s="11">
        <f>TTEST(A2:A76,E2:E52,2,2)</f>
        <v>0.38599970058521715</v>
      </c>
      <c r="I7" s="11">
        <f>TTEST(B2:B52,E2:E30,2,2)</f>
        <v>9.0566909076817595E-2</v>
      </c>
      <c r="J7" s="11">
        <f>TTEST(C2:C47,E2:E30,2,2)</f>
        <v>0.64648542879725923</v>
      </c>
      <c r="K7" s="11">
        <f>TTEST(D2:D16,E2:E30,2,2)</f>
        <v>7.8941777229378004E-3</v>
      </c>
      <c r="L7" s="4"/>
    </row>
    <row r="8" spans="1:12" x14ac:dyDescent="0.45">
      <c r="A8" s="3">
        <v>4</v>
      </c>
      <c r="B8" s="3">
        <v>5</v>
      </c>
      <c r="C8" s="3">
        <v>4</v>
      </c>
      <c r="D8" s="3">
        <v>1</v>
      </c>
      <c r="E8" s="3">
        <v>3</v>
      </c>
    </row>
    <row r="9" spans="1:12" x14ac:dyDescent="0.45">
      <c r="A9" s="2">
        <v>1</v>
      </c>
      <c r="B9" s="2">
        <v>2</v>
      </c>
      <c r="C9" s="2">
        <v>2</v>
      </c>
      <c r="D9" s="2">
        <v>3</v>
      </c>
      <c r="E9" s="2">
        <v>3</v>
      </c>
      <c r="G9" s="19" t="s">
        <v>97</v>
      </c>
      <c r="H9" s="20"/>
      <c r="I9" s="20"/>
      <c r="J9" s="21"/>
    </row>
    <row r="10" spans="1:12" x14ac:dyDescent="0.45">
      <c r="A10" s="3">
        <v>1</v>
      </c>
      <c r="B10" s="3">
        <v>2</v>
      </c>
      <c r="C10" s="3">
        <v>3</v>
      </c>
      <c r="D10" s="3">
        <v>4</v>
      </c>
      <c r="E10" s="3">
        <v>3</v>
      </c>
      <c r="G10" s="14" t="s">
        <v>99</v>
      </c>
      <c r="H10">
        <v>10</v>
      </c>
      <c r="J10" s="15"/>
    </row>
    <row r="11" spans="1:12" x14ac:dyDescent="0.45">
      <c r="A11" s="2">
        <v>2</v>
      </c>
      <c r="B11" s="2">
        <v>1</v>
      </c>
      <c r="C11" s="2">
        <v>4</v>
      </c>
      <c r="D11" s="2">
        <v>5</v>
      </c>
      <c r="E11" s="2">
        <v>4</v>
      </c>
      <c r="G11" s="16" t="s">
        <v>98</v>
      </c>
      <c r="H11" s="17">
        <f>0.05/H10</f>
        <v>5.0000000000000001E-3</v>
      </c>
      <c r="I11" s="17" t="s">
        <v>100</v>
      </c>
      <c r="J11" s="18"/>
    </row>
    <row r="12" spans="1:12" x14ac:dyDescent="0.45">
      <c r="A12" s="3">
        <v>3</v>
      </c>
      <c r="B12" s="3">
        <v>4</v>
      </c>
      <c r="C12" s="3">
        <v>4</v>
      </c>
      <c r="D12" s="3">
        <v>5</v>
      </c>
      <c r="E12" s="3">
        <v>2</v>
      </c>
    </row>
    <row r="13" spans="1:12" x14ac:dyDescent="0.45">
      <c r="A13" s="2">
        <v>2</v>
      </c>
      <c r="B13" s="2">
        <v>3</v>
      </c>
      <c r="C13" s="2">
        <v>4</v>
      </c>
      <c r="D13" s="2">
        <v>2</v>
      </c>
      <c r="E13" s="2">
        <v>4</v>
      </c>
    </row>
    <row r="14" spans="1:12" x14ac:dyDescent="0.45">
      <c r="A14" s="3">
        <v>5</v>
      </c>
      <c r="B14" s="3">
        <v>3</v>
      </c>
      <c r="C14" s="3">
        <v>4</v>
      </c>
      <c r="D14" s="3">
        <v>3</v>
      </c>
      <c r="E14" s="3">
        <v>5</v>
      </c>
    </row>
    <row r="15" spans="1:12" x14ac:dyDescent="0.45">
      <c r="A15" s="2">
        <v>2</v>
      </c>
      <c r="B15" s="2">
        <v>2</v>
      </c>
      <c r="C15" s="2">
        <v>1</v>
      </c>
      <c r="D15" s="2">
        <v>1</v>
      </c>
      <c r="E15" s="2">
        <v>4</v>
      </c>
    </row>
    <row r="16" spans="1:12" x14ac:dyDescent="0.45">
      <c r="A16" s="3">
        <v>4</v>
      </c>
      <c r="B16" s="3">
        <v>3</v>
      </c>
      <c r="C16" s="3">
        <v>4</v>
      </c>
      <c r="D16" s="3">
        <v>1</v>
      </c>
      <c r="E16" s="3">
        <v>2</v>
      </c>
    </row>
    <row r="17" spans="1:5" x14ac:dyDescent="0.45">
      <c r="A17" s="2">
        <v>5</v>
      </c>
      <c r="B17" s="2">
        <v>2</v>
      </c>
      <c r="C17" s="2">
        <v>5</v>
      </c>
      <c r="E17" s="2">
        <v>2</v>
      </c>
    </row>
    <row r="18" spans="1:5" x14ac:dyDescent="0.45">
      <c r="A18" s="3">
        <v>2</v>
      </c>
      <c r="B18" s="3">
        <v>4</v>
      </c>
      <c r="C18" s="3">
        <v>4</v>
      </c>
      <c r="E18" s="3">
        <v>5</v>
      </c>
    </row>
    <row r="19" spans="1:5" x14ac:dyDescent="0.45">
      <c r="A19" s="2">
        <v>3</v>
      </c>
      <c r="B19" s="2">
        <v>2</v>
      </c>
      <c r="C19" s="2">
        <v>4</v>
      </c>
      <c r="E19" s="2">
        <v>5</v>
      </c>
    </row>
    <row r="20" spans="1:5" x14ac:dyDescent="0.45">
      <c r="A20" s="3">
        <v>2</v>
      </c>
      <c r="B20" s="3">
        <v>4</v>
      </c>
      <c r="C20" s="3">
        <v>5</v>
      </c>
      <c r="E20" s="3">
        <v>5</v>
      </c>
    </row>
    <row r="21" spans="1:5" x14ac:dyDescent="0.45">
      <c r="A21" s="2">
        <v>4</v>
      </c>
      <c r="B21" s="2">
        <v>3</v>
      </c>
      <c r="C21" s="2">
        <v>5</v>
      </c>
      <c r="E21" s="2">
        <v>5</v>
      </c>
    </row>
    <row r="22" spans="1:5" x14ac:dyDescent="0.45">
      <c r="A22" s="3">
        <v>4</v>
      </c>
      <c r="B22" s="3">
        <v>2</v>
      </c>
      <c r="C22" s="3">
        <v>5</v>
      </c>
      <c r="E22" s="3">
        <v>5</v>
      </c>
    </row>
    <row r="23" spans="1:5" x14ac:dyDescent="0.45">
      <c r="A23" s="2">
        <v>2</v>
      </c>
      <c r="B23" s="2">
        <v>5</v>
      </c>
      <c r="C23" s="2">
        <v>5</v>
      </c>
      <c r="E23" s="2">
        <v>5</v>
      </c>
    </row>
    <row r="24" spans="1:5" x14ac:dyDescent="0.45">
      <c r="A24" s="3">
        <v>4</v>
      </c>
      <c r="B24" s="3">
        <v>5</v>
      </c>
      <c r="C24" s="3">
        <v>5</v>
      </c>
      <c r="E24" s="3">
        <v>5</v>
      </c>
    </row>
    <row r="25" spans="1:5" x14ac:dyDescent="0.45">
      <c r="A25" s="2">
        <v>3</v>
      </c>
      <c r="B25" s="2">
        <v>5</v>
      </c>
      <c r="C25" s="2">
        <v>5</v>
      </c>
      <c r="E25" s="2">
        <v>5</v>
      </c>
    </row>
    <row r="26" spans="1:5" x14ac:dyDescent="0.45">
      <c r="A26" s="3">
        <v>5</v>
      </c>
      <c r="B26" s="3">
        <v>5</v>
      </c>
      <c r="C26" s="3">
        <v>5</v>
      </c>
      <c r="E26" s="3">
        <v>4</v>
      </c>
    </row>
    <row r="27" spans="1:5" x14ac:dyDescent="0.45">
      <c r="A27" s="2">
        <v>4</v>
      </c>
      <c r="B27" s="2">
        <v>1</v>
      </c>
      <c r="C27" s="2">
        <v>5</v>
      </c>
      <c r="E27" s="2">
        <v>5</v>
      </c>
    </row>
    <row r="28" spans="1:5" x14ac:dyDescent="0.45">
      <c r="A28" s="3">
        <v>4</v>
      </c>
      <c r="B28" s="3">
        <v>4</v>
      </c>
      <c r="C28" s="3">
        <v>4</v>
      </c>
      <c r="E28" s="3">
        <v>3</v>
      </c>
    </row>
    <row r="29" spans="1:5" x14ac:dyDescent="0.45">
      <c r="A29" s="2">
        <v>4</v>
      </c>
      <c r="B29" s="2">
        <v>5</v>
      </c>
      <c r="C29" s="2">
        <v>5</v>
      </c>
      <c r="E29" s="2">
        <v>5</v>
      </c>
    </row>
    <row r="30" spans="1:5" x14ac:dyDescent="0.45">
      <c r="A30" s="3">
        <v>4</v>
      </c>
      <c r="B30" s="3">
        <v>3</v>
      </c>
      <c r="C30" s="3">
        <v>4</v>
      </c>
      <c r="E30" s="3">
        <v>4</v>
      </c>
    </row>
    <row r="31" spans="1:5" x14ac:dyDescent="0.45">
      <c r="A31" s="2">
        <v>5</v>
      </c>
      <c r="B31" s="2">
        <v>3</v>
      </c>
      <c r="C31" s="2">
        <v>3</v>
      </c>
    </row>
    <row r="32" spans="1:5" x14ac:dyDescent="0.45">
      <c r="A32" s="3">
        <v>4</v>
      </c>
      <c r="B32" s="3">
        <v>3</v>
      </c>
      <c r="C32" s="3">
        <v>3</v>
      </c>
    </row>
    <row r="33" spans="1:3" x14ac:dyDescent="0.45">
      <c r="A33" s="2">
        <v>2</v>
      </c>
      <c r="B33" s="2">
        <v>2</v>
      </c>
      <c r="C33" s="2">
        <v>4</v>
      </c>
    </row>
    <row r="34" spans="1:3" x14ac:dyDescent="0.45">
      <c r="A34" s="3">
        <v>5</v>
      </c>
      <c r="B34" s="3">
        <v>4</v>
      </c>
      <c r="C34" s="3">
        <v>4</v>
      </c>
    </row>
    <row r="35" spans="1:3" x14ac:dyDescent="0.45">
      <c r="A35" s="2">
        <v>5</v>
      </c>
      <c r="B35" s="2">
        <v>3</v>
      </c>
      <c r="C35" s="2">
        <v>2</v>
      </c>
    </row>
    <row r="36" spans="1:3" x14ac:dyDescent="0.45">
      <c r="A36" s="3">
        <v>5</v>
      </c>
      <c r="B36" s="3">
        <v>4</v>
      </c>
      <c r="C36" s="3">
        <v>3</v>
      </c>
    </row>
    <row r="37" spans="1:3" x14ac:dyDescent="0.45">
      <c r="A37" s="2">
        <v>4</v>
      </c>
      <c r="B37" s="2">
        <v>2</v>
      </c>
      <c r="C37" s="2">
        <v>4</v>
      </c>
    </row>
    <row r="38" spans="1:3" x14ac:dyDescent="0.45">
      <c r="A38" s="3">
        <v>5</v>
      </c>
      <c r="B38" s="3">
        <v>3</v>
      </c>
      <c r="C38" s="3">
        <v>3</v>
      </c>
    </row>
    <row r="39" spans="1:3" x14ac:dyDescent="0.45">
      <c r="A39" s="2">
        <v>4</v>
      </c>
      <c r="B39" s="2">
        <v>1</v>
      </c>
      <c r="C39" s="2">
        <v>5</v>
      </c>
    </row>
    <row r="40" spans="1:3" x14ac:dyDescent="0.45">
      <c r="A40" s="3">
        <v>2</v>
      </c>
      <c r="B40" s="3">
        <v>2</v>
      </c>
      <c r="C40" s="3">
        <v>3</v>
      </c>
    </row>
    <row r="41" spans="1:3" x14ac:dyDescent="0.45">
      <c r="A41" s="2">
        <v>1</v>
      </c>
      <c r="B41" s="2">
        <v>3</v>
      </c>
      <c r="C41" s="2">
        <v>5</v>
      </c>
    </row>
    <row r="42" spans="1:3" x14ac:dyDescent="0.45">
      <c r="A42" s="3">
        <v>3</v>
      </c>
      <c r="B42" s="3">
        <v>3</v>
      </c>
      <c r="C42" s="3">
        <v>4</v>
      </c>
    </row>
    <row r="43" spans="1:3" x14ac:dyDescent="0.45">
      <c r="A43" s="2">
        <v>2</v>
      </c>
      <c r="B43" s="2">
        <v>4</v>
      </c>
      <c r="C43" s="2">
        <v>5</v>
      </c>
    </row>
    <row r="44" spans="1:3" x14ac:dyDescent="0.45">
      <c r="A44" s="3">
        <v>4</v>
      </c>
      <c r="B44" s="3">
        <v>4</v>
      </c>
      <c r="C44" s="3">
        <v>4</v>
      </c>
    </row>
    <row r="45" spans="1:3" x14ac:dyDescent="0.45">
      <c r="A45" s="2">
        <v>5</v>
      </c>
      <c r="B45" s="2">
        <v>5</v>
      </c>
      <c r="C45" s="2">
        <v>4</v>
      </c>
    </row>
    <row r="46" spans="1:3" x14ac:dyDescent="0.45">
      <c r="A46" s="3">
        <v>5</v>
      </c>
      <c r="B46" s="3">
        <v>5</v>
      </c>
      <c r="C46" s="3">
        <v>5</v>
      </c>
    </row>
    <row r="47" spans="1:3" x14ac:dyDescent="0.45">
      <c r="A47" s="2">
        <v>2</v>
      </c>
      <c r="B47" s="2">
        <v>5</v>
      </c>
      <c r="C47" s="2">
        <v>4</v>
      </c>
    </row>
    <row r="48" spans="1:3" x14ac:dyDescent="0.45">
      <c r="A48" s="3">
        <v>5</v>
      </c>
      <c r="B48" s="3">
        <v>4</v>
      </c>
    </row>
    <row r="49" spans="1:2" x14ac:dyDescent="0.45">
      <c r="A49" s="2">
        <v>5</v>
      </c>
      <c r="B49" s="2">
        <v>4</v>
      </c>
    </row>
    <row r="50" spans="1:2" x14ac:dyDescent="0.45">
      <c r="A50" s="3">
        <v>5</v>
      </c>
      <c r="B50" s="3">
        <v>5</v>
      </c>
    </row>
    <row r="51" spans="1:2" x14ac:dyDescent="0.45">
      <c r="A51" s="2">
        <v>3</v>
      </c>
      <c r="B51" s="2">
        <v>1</v>
      </c>
    </row>
    <row r="52" spans="1:2" x14ac:dyDescent="0.45">
      <c r="A52" s="3">
        <v>5</v>
      </c>
      <c r="B52" s="3">
        <v>4</v>
      </c>
    </row>
    <row r="53" spans="1:2" x14ac:dyDescent="0.45">
      <c r="A53" s="2">
        <v>3</v>
      </c>
    </row>
    <row r="54" spans="1:2" x14ac:dyDescent="0.45">
      <c r="A54" s="3">
        <v>5</v>
      </c>
    </row>
    <row r="55" spans="1:2" x14ac:dyDescent="0.45">
      <c r="A55" s="2">
        <v>5</v>
      </c>
    </row>
    <row r="56" spans="1:2" x14ac:dyDescent="0.45">
      <c r="A56" s="3">
        <v>5</v>
      </c>
    </row>
    <row r="57" spans="1:2" x14ac:dyDescent="0.45">
      <c r="A57" s="2">
        <v>5</v>
      </c>
    </row>
    <row r="58" spans="1:2" x14ac:dyDescent="0.45">
      <c r="A58" s="3">
        <v>1</v>
      </c>
    </row>
    <row r="59" spans="1:2" x14ac:dyDescent="0.45">
      <c r="A59" s="2">
        <v>5</v>
      </c>
    </row>
    <row r="60" spans="1:2" x14ac:dyDescent="0.45">
      <c r="A60" s="3">
        <v>3</v>
      </c>
    </row>
    <row r="61" spans="1:2" x14ac:dyDescent="0.45">
      <c r="A61" s="2">
        <v>2</v>
      </c>
    </row>
    <row r="62" spans="1:2" x14ac:dyDescent="0.45">
      <c r="A62" s="3">
        <v>4</v>
      </c>
    </row>
    <row r="63" spans="1:2" x14ac:dyDescent="0.45">
      <c r="A63" s="2">
        <v>3</v>
      </c>
    </row>
    <row r="64" spans="1:2" x14ac:dyDescent="0.45">
      <c r="A64" s="3">
        <v>4</v>
      </c>
    </row>
    <row r="65" spans="1:1" x14ac:dyDescent="0.45">
      <c r="A65" s="2">
        <v>2</v>
      </c>
    </row>
    <row r="66" spans="1:1" x14ac:dyDescent="0.45">
      <c r="A66" s="3">
        <v>3</v>
      </c>
    </row>
    <row r="67" spans="1:1" x14ac:dyDescent="0.45">
      <c r="A67" s="2">
        <v>2</v>
      </c>
    </row>
    <row r="68" spans="1:1" x14ac:dyDescent="0.45">
      <c r="A68" s="3">
        <v>4</v>
      </c>
    </row>
    <row r="69" spans="1:1" x14ac:dyDescent="0.45">
      <c r="A69" s="2">
        <v>5</v>
      </c>
    </row>
    <row r="70" spans="1:1" x14ac:dyDescent="0.45">
      <c r="A70" s="3">
        <v>5</v>
      </c>
    </row>
    <row r="71" spans="1:1" x14ac:dyDescent="0.45">
      <c r="A71" s="2">
        <v>5</v>
      </c>
    </row>
    <row r="72" spans="1:1" x14ac:dyDescent="0.45">
      <c r="A72" s="3">
        <v>3</v>
      </c>
    </row>
    <row r="73" spans="1:1" x14ac:dyDescent="0.45">
      <c r="A73" s="2">
        <v>3</v>
      </c>
    </row>
    <row r="74" spans="1:1" x14ac:dyDescent="0.45">
      <c r="A74" s="3">
        <v>4</v>
      </c>
    </row>
    <row r="75" spans="1:1" x14ac:dyDescent="0.45">
      <c r="A75" s="2">
        <v>5</v>
      </c>
    </row>
    <row r="76" spans="1:1" x14ac:dyDescent="0.45">
      <c r="A76" s="3">
        <v>5</v>
      </c>
    </row>
  </sheetData>
  <conditionalFormatting sqref="H3:L7">
    <cfRule type="cellIs" dxfId="0" priority="1" operator="lessThan">
      <formula>0.005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4264B3-20EE-4C2F-951C-AA26515A8B31}">
  <dimension ref="A1:K37"/>
  <sheetViews>
    <sheetView workbookViewId="0">
      <selection activeCell="A23" sqref="A23:A28"/>
    </sheetView>
  </sheetViews>
  <sheetFormatPr defaultRowHeight="14.25" x14ac:dyDescent="0.45"/>
  <cols>
    <col min="1" max="1" width="20.53125" customWidth="1"/>
    <col min="2" max="2" width="21.19921875" customWidth="1"/>
    <col min="3" max="3" width="14.33203125" customWidth="1"/>
    <col min="4" max="4" width="22.796875" customWidth="1"/>
  </cols>
  <sheetData>
    <row r="1" spans="1:6" x14ac:dyDescent="0.45">
      <c r="A1" s="7" t="s">
        <v>58</v>
      </c>
      <c r="B1" s="5" t="s">
        <v>4</v>
      </c>
      <c r="C1" s="5" t="s">
        <v>2</v>
      </c>
      <c r="D1" s="5" t="s">
        <v>3</v>
      </c>
      <c r="E1" s="5" t="s">
        <v>101</v>
      </c>
    </row>
    <row r="2" spans="1:6" x14ac:dyDescent="0.45">
      <c r="A2" s="8" t="s">
        <v>52</v>
      </c>
      <c r="B2" s="6">
        <f>AVERAGEIFS(Table1[ConfidenceProgrammer],Table1[A.RootCause],TRUE)</f>
        <v>4.0533333333333337</v>
      </c>
      <c r="C2" s="6">
        <f>AVERAGEIFS(Table1[Quality],Table1[A.RootCause],TRUE)</f>
        <v>3.4933333333333332</v>
      </c>
      <c r="D2" s="6">
        <f>AVERAGEIFS(Table1[ConfidenceParticipant],Table1[A.RootCause],TRUE)</f>
        <v>3.8533333333333335</v>
      </c>
      <c r="E2" s="4">
        <f>COUNTIFS(Table1[A.RootCause],TRUE,Table1[Column1],1)</f>
        <v>31</v>
      </c>
    </row>
    <row r="3" spans="1:6" x14ac:dyDescent="0.45">
      <c r="A3" s="8" t="s">
        <v>53</v>
      </c>
      <c r="B3" s="6">
        <f>AVERAGEIFS(Table1[ConfidenceProgrammer],Table1[B.DescripProgram],TRUE)</f>
        <v>4.117647058823529</v>
      </c>
      <c r="C3" s="6">
        <f>AVERAGEIFS(Table1[Quality],Table1[B.DescripProgram],TRUE)</f>
        <v>3.2352941176470589</v>
      </c>
      <c r="D3" s="6">
        <f>AVERAGEIFS(Table1[ConfidenceParticipant],Table1[B.DescripProgram],TRUE)</f>
        <v>3.5882352941176472</v>
      </c>
      <c r="E3" s="4">
        <f>COUNTIFS(Table1[B.DescripProgram],TRUE,Table1[Column1],1)</f>
        <v>7</v>
      </c>
      <c r="F3" t="s">
        <v>92</v>
      </c>
    </row>
    <row r="4" spans="1:6" x14ac:dyDescent="0.45">
      <c r="A4" s="8" t="s">
        <v>54</v>
      </c>
      <c r="B4" s="6">
        <f>AVERAGEIFS(Table1[ConfidenceProgrammer],Table1[C.DescripFailure],TRUE)</f>
        <v>4.1739130434782608</v>
      </c>
      <c r="C4" s="6">
        <f>AVERAGEIFS(Table1[Quality],Table1[C.DescripFailure],TRUE)</f>
        <v>3.8913043478260869</v>
      </c>
      <c r="D4" s="6">
        <f>AVERAGEIFS(Table1[ConfidenceParticipant],Table1[C.DescripFailure],TRUE)</f>
        <v>3.8260869565217392</v>
      </c>
      <c r="E4" s="4">
        <f>COUNTIFS(Table1[C.DescripFailure],TRUE,Table1[Column1],1)</f>
        <v>6</v>
      </c>
      <c r="F4" t="s">
        <v>96</v>
      </c>
    </row>
    <row r="5" spans="1:6" x14ac:dyDescent="0.45">
      <c r="A5" s="8" t="s">
        <v>55</v>
      </c>
      <c r="B5" s="6">
        <f>AVERAGEIFS(Table1[ConfidenceProgrammer],Table1[D.MoreInformation],TRUE)</f>
        <v>2.3333333333333335</v>
      </c>
      <c r="C5" s="6">
        <f>AVERAGEIFS(Table1[Quality],Table1[D.MoreInformation],TRUE)</f>
        <v>2.4666666666666668</v>
      </c>
      <c r="D5" s="6">
        <f>AVERAGEIFS(Table1[ConfidenceParticipant],Table1[D.MoreInformation],TRUE)</f>
        <v>2.7333333333333334</v>
      </c>
      <c r="E5" s="4">
        <f>COUNTIFS(Table1[D.MoreInformation],TRUE,Table1[Column1],1)</f>
        <v>7</v>
      </c>
    </row>
    <row r="6" spans="1:6" x14ac:dyDescent="0.45">
      <c r="A6" s="8" t="s">
        <v>57</v>
      </c>
      <c r="B6" s="6">
        <f>AVERAGEIFS(Table1[ConfidenceProgrammer],Table1[E.SuggestFaultRemoval],TRUE)</f>
        <v>4.4137931034482758</v>
      </c>
      <c r="C6" s="6">
        <f>AVERAGEIFS(Table1[Quality],Table1[E.SuggestFaultRemoval],TRUE)</f>
        <v>3.7586206896551726</v>
      </c>
      <c r="D6" s="6">
        <f>AVERAGEIFS(Table1[ConfidenceParticipant],Table1[E.SuggestFaultRemoval],TRUE)</f>
        <v>4.068965517241379</v>
      </c>
      <c r="E6" s="4">
        <f>COUNTIFS(Table1[E.SuggestFaultRemoval],TRUE,Table1[Column1],1)</f>
        <v>3</v>
      </c>
    </row>
    <row r="9" spans="1:6" x14ac:dyDescent="0.45">
      <c r="A9" s="10" t="s">
        <v>67</v>
      </c>
    </row>
    <row r="10" spans="1:6" x14ac:dyDescent="0.45">
      <c r="A10" t="s">
        <v>62</v>
      </c>
    </row>
    <row r="11" spans="1:6" x14ac:dyDescent="0.45">
      <c r="A11" t="s">
        <v>68</v>
      </c>
    </row>
    <row r="12" spans="1:6" x14ac:dyDescent="0.45">
      <c r="A12" t="s">
        <v>63</v>
      </c>
    </row>
    <row r="13" spans="1:6" x14ac:dyDescent="0.45">
      <c r="A13" t="s">
        <v>64</v>
      </c>
    </row>
    <row r="14" spans="1:6" x14ac:dyDescent="0.45">
      <c r="A14" t="s">
        <v>65</v>
      </c>
    </row>
    <row r="15" spans="1:6" x14ac:dyDescent="0.45">
      <c r="A15" t="s">
        <v>66</v>
      </c>
    </row>
    <row r="17" spans="1:11" x14ac:dyDescent="0.45">
      <c r="A17" t="s">
        <v>80</v>
      </c>
    </row>
    <row r="18" spans="1:11" x14ac:dyDescent="0.45">
      <c r="A18" t="s">
        <v>81</v>
      </c>
      <c r="K18" t="s">
        <v>69</v>
      </c>
    </row>
    <row r="19" spans="1:11" x14ac:dyDescent="0.45">
      <c r="A19" t="s">
        <v>82</v>
      </c>
      <c r="K19" t="s">
        <v>70</v>
      </c>
    </row>
    <row r="20" spans="1:11" x14ac:dyDescent="0.45">
      <c r="K20" t="s">
        <v>71</v>
      </c>
    </row>
    <row r="21" spans="1:11" x14ac:dyDescent="0.45">
      <c r="A21" t="s">
        <v>83</v>
      </c>
      <c r="K21" t="s">
        <v>72</v>
      </c>
    </row>
    <row r="22" spans="1:11" x14ac:dyDescent="0.45">
      <c r="K22" t="s">
        <v>73</v>
      </c>
    </row>
    <row r="23" spans="1:11" x14ac:dyDescent="0.45">
      <c r="A23" t="s">
        <v>84</v>
      </c>
      <c r="K23" t="s">
        <v>74</v>
      </c>
    </row>
    <row r="24" spans="1:11" x14ac:dyDescent="0.45">
      <c r="A24" t="s">
        <v>85</v>
      </c>
      <c r="K24" t="s">
        <v>75</v>
      </c>
    </row>
    <row r="25" spans="1:11" x14ac:dyDescent="0.45">
      <c r="A25" t="s">
        <v>86</v>
      </c>
      <c r="K25" t="s">
        <v>76</v>
      </c>
    </row>
    <row r="26" spans="1:11" x14ac:dyDescent="0.45">
      <c r="A26" t="s">
        <v>87</v>
      </c>
      <c r="K26" t="s">
        <v>77</v>
      </c>
    </row>
    <row r="27" spans="1:11" x14ac:dyDescent="0.45">
      <c r="A27" t="s">
        <v>102</v>
      </c>
      <c r="K27" t="s">
        <v>78</v>
      </c>
    </row>
    <row r="28" spans="1:11" x14ac:dyDescent="0.45">
      <c r="A28" t="s">
        <v>103</v>
      </c>
      <c r="K28" t="s">
        <v>79</v>
      </c>
    </row>
    <row r="30" spans="1:11" x14ac:dyDescent="0.45">
      <c r="K30" t="s">
        <v>60</v>
      </c>
    </row>
    <row r="31" spans="1:11" x14ac:dyDescent="0.45">
      <c r="A31" t="s">
        <v>107</v>
      </c>
      <c r="K31" t="s">
        <v>61</v>
      </c>
    </row>
    <row r="32" spans="1:11" x14ac:dyDescent="0.45">
      <c r="A32" t="s">
        <v>104</v>
      </c>
    </row>
    <row r="33" spans="1:2" x14ac:dyDescent="0.45">
      <c r="A33" t="s">
        <v>105</v>
      </c>
    </row>
    <row r="34" spans="1:2" x14ac:dyDescent="0.45">
      <c r="A34" t="s">
        <v>106</v>
      </c>
    </row>
    <row r="36" spans="1:2" x14ac:dyDescent="0.45">
      <c r="B36">
        <v>0.05</v>
      </c>
    </row>
    <row r="37" spans="1:2" x14ac:dyDescent="0.45">
      <c r="B37">
        <v>1.7000000000000001E-2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quality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</dc:creator>
  <cp:lastModifiedBy>Christian Adriano</cp:lastModifiedBy>
  <dcterms:created xsi:type="dcterms:W3CDTF">2018-02-16T17:49:06Z</dcterms:created>
  <dcterms:modified xsi:type="dcterms:W3CDTF">2023-11-30T14:12:34Z</dcterms:modified>
</cp:coreProperties>
</file>